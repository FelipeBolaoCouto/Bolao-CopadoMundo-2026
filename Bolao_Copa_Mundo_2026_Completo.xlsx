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 &amp; Pontuação" sheetId="1" state="visible" r:id="rId1"/>
    <sheet xmlns:r="http://schemas.openxmlformats.org/officeDocument/2006/relationships" name="Jogos &amp; Palpites" sheetId="2" state="visible" r:id="rId2"/>
    <sheet xmlns:r="http://schemas.openxmlformats.org/officeDocument/2006/relationships" name="Painel &amp;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5B9BD5"/>
        <bgColor rgb="005B9BD5"/>
      </patternFill>
    </fill>
    <fill>
      <patternFill patternType="solid">
        <fgColor rgb="00366092"/>
        <bgColor rgb="00366092"/>
      </patternFill>
    </fill>
    <fill>
      <patternFill patternType="solid">
        <fgColor rgb="00418AB3"/>
        <bgColor rgb="00418AB3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4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13" customWidth="1" min="2" max="2"/>
    <col width="84" customWidth="1" min="3" max="3"/>
    <col width="42" customWidth="1" min="4" max="4"/>
  </cols>
  <sheetData>
    <row r="1" ht="40" customHeight="1">
      <c r="A1" s="1" t="inlineStr">
        <is>
          <t>REGULAMENTO DO BOLÃO - COPA DO MUNDO 2026</t>
        </is>
      </c>
    </row>
    <row r="2">
      <c r="A2" t="inlineStr"/>
      <c r="B2" t="inlineStr"/>
      <c r="C2" t="inlineStr"/>
      <c r="D2" t="inlineStr"/>
    </row>
    <row r="3">
      <c r="A3" s="2" t="inlineStr">
        <is>
          <t>1. SISTEMA DE PONTUAÇÃO PRINCIPAL</t>
        </is>
      </c>
      <c r="B3" t="inlineStr"/>
      <c r="C3" t="inlineStr"/>
      <c r="D3" t="inlineStr"/>
    </row>
    <row r="4">
      <c r="A4" s="3" t="inlineStr">
        <is>
          <t>Critério</t>
        </is>
      </c>
      <c r="B4" s="3" t="inlineStr">
        <is>
          <t>Pontos</t>
        </is>
      </c>
      <c r="C4" s="3" t="inlineStr">
        <is>
          <t>Descrição</t>
        </is>
      </c>
      <c r="D4" s="3" t="inlineStr">
        <is>
          <t>Exemplo (Jogo Real: 2 x 1)</t>
        </is>
      </c>
    </row>
    <row r="5">
      <c r="A5" s="4" t="inlineStr">
        <is>
          <t>Acerto em Cheio (Placar Exato)</t>
        </is>
      </c>
      <c r="B5" s="5" t="n">
        <v>25</v>
      </c>
      <c r="C5" s="4" t="inlineStr">
        <is>
          <t>Acertar exatamente a quantidade de gols de ambos os times.</t>
        </is>
      </c>
      <c r="D5" s="4" t="inlineStr">
        <is>
          <t>Palpite: 2 x 1 -&gt; Ganha 25 pts</t>
        </is>
      </c>
    </row>
    <row r="6">
      <c r="A6" s="4" t="inlineStr">
        <is>
          <t>Acerto de Tendência + Gols do Vencedor</t>
        </is>
      </c>
      <c r="B6" s="5" t="n">
        <v>18</v>
      </c>
      <c r="C6" s="4" t="inlineStr">
        <is>
          <t>Acertar o vencedor e o número de gols que ele fez, mas errar os gols do perdedor.</t>
        </is>
      </c>
      <c r="D6" s="4" t="inlineStr">
        <is>
          <t>Palpite: 2 x 0 -&gt; Ganha 18 pts</t>
        </is>
      </c>
    </row>
    <row r="7">
      <c r="A7" s="4" t="inlineStr">
        <is>
          <t>Acerto de Tendência Simples (Vencedor/Empate)</t>
        </is>
      </c>
      <c r="B7" s="5" t="n">
        <v>12</v>
      </c>
      <c r="C7" s="4" t="inlineStr">
        <is>
          <t>Acertar apenas quem venceu ou que terminou empatado, errando os placares exatos.</t>
        </is>
      </c>
      <c r="D7" s="4" t="inlineStr">
        <is>
          <t>Palpite: 1 x 0 ou 3 x 2 -&gt; Ganha 12 pts</t>
        </is>
      </c>
    </row>
    <row r="8">
      <c r="A8" s="4" t="inlineStr">
        <is>
          <t>Acerto do Placar do Perdedor</t>
        </is>
      </c>
      <c r="B8" s="5" t="n">
        <v>5</v>
      </c>
      <c r="C8" s="4" t="inlineStr">
        <is>
          <t>Errar o vencedor/empate, mas acertar a quantidade de gols de um dos times.</t>
        </is>
      </c>
      <c r="D8" s="4" t="inlineStr">
        <is>
          <t>Palpite: 0 x 1 -&gt; Ganha 5 pts</t>
        </is>
      </c>
    </row>
    <row r="9">
      <c r="A9" s="4" t="inlineStr">
        <is>
          <t>Erro Total</t>
        </is>
      </c>
      <c r="B9" s="5" t="n">
        <v>0</v>
      </c>
      <c r="C9" s="4" t="inlineStr">
        <is>
          <t>Não acertar nenhuma das condições acima.</t>
        </is>
      </c>
      <c r="D9" s="4" t="inlineStr">
        <is>
          <t>Palpite: 0 x 3 -&gt; Ganha 0 pts</t>
        </is>
      </c>
    </row>
    <row r="10">
      <c r="A10" t="inlineStr"/>
      <c r="B10" t="inlineStr"/>
      <c r="C10" t="inlineStr"/>
      <c r="D10" t="inlineStr"/>
    </row>
    <row r="11">
      <c r="A11" s="2" t="inlineStr">
        <is>
          <t>2. SISTEMA DE PONTOS BÔNUS (QUEM FAZ O GOL)</t>
        </is>
      </c>
      <c r="B11" t="inlineStr"/>
      <c r="C11" t="inlineStr"/>
      <c r="D11" t="inlineStr"/>
    </row>
    <row r="12">
      <c r="A12" s="3" t="inlineStr">
        <is>
          <t>Tipo de Bônus</t>
        </is>
      </c>
      <c r="B12" s="3" t="inlineStr">
        <is>
          <t>Pontos</t>
        </is>
      </c>
      <c r="C12" s="3" t="inlineStr">
        <is>
          <t>Regra de Aplicação</t>
        </is>
      </c>
      <c r="D12" s="3" t="inlineStr"/>
    </row>
    <row r="13">
      <c r="A13" s="4" t="inlineStr">
        <is>
          <t>Bônus por Acerto de Gols (Time Casa)</t>
        </is>
      </c>
      <c r="B13" s="5" t="n">
        <v>3</v>
      </c>
      <c r="C13" s="4" t="inlineStr">
        <is>
          <t>Ganha +3 pontos extras se acertar o número exato de gols que o Time Casa marcou.</t>
        </is>
      </c>
      <c r="D13" t="inlineStr"/>
    </row>
    <row r="14">
      <c r="A14" s="4" t="inlineStr">
        <is>
          <t>Bônus por Acerto de Gols (Time Fora)</t>
        </is>
      </c>
      <c r="B14" s="5" t="n">
        <v>3</v>
      </c>
      <c r="C14" s="4" t="inlineStr">
        <is>
          <t>Ganha +3 pontos extras se acertar o número exato de gols que o Time Fora marcou.</t>
        </is>
      </c>
      <c r="D14" t="inlineStr"/>
    </row>
    <row r="15">
      <c r="A15" t="inlineStr"/>
      <c r="B15" t="inlineStr"/>
      <c r="C15" t="inlineStr"/>
      <c r="D15" t="inlineStr"/>
    </row>
    <row r="16">
      <c r="A16" s="2" t="inlineStr">
        <is>
          <t>Observação Importante:</t>
        </is>
      </c>
      <c r="B16" s="6" t="inlineStr">
        <is>
          <t>Os pontos bônus por gols são independentes e se somam à pontuação principal! Por exemplo, se você apostou 2x1 e o jogo foi 2x1, você ganha 25 (placar cheio) + 3 (gols casa) + 3 (gols fora) = 31 pontos no total.</t>
        </is>
      </c>
      <c r="C16" t="inlineStr"/>
      <c r="D1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26" customWidth="1" min="4" max="4"/>
    <col width="18" customWidth="1" min="5" max="5"/>
    <col width="11" customWidth="1" min="6" max="6"/>
    <col width="11" customWidth="1" min="7" max="7"/>
    <col width="18" customWidth="1" min="8" max="8"/>
    <col width="12" customWidth="1" min="9" max="9"/>
    <col width="11" customWidth="1" min="10" max="10"/>
    <col width="233" customWidth="1" min="11" max="11"/>
    <col width="60" customWidth="1" min="12" max="12"/>
    <col width="60" customWidth="1" min="13" max="13"/>
    <col width="16" customWidth="1" min="14" max="14"/>
    <col width="11" customWidth="1" min="15" max="15"/>
    <col width="11" customWidth="1" min="16" max="16"/>
    <col width="233" customWidth="1" min="17" max="17"/>
    <col width="60" customWidth="1" min="18" max="18"/>
    <col width="60" customWidth="1" min="19" max="19"/>
    <col width="16" customWidth="1" min="20" max="20"/>
    <col width="11" customWidth="1" min="21" max="21"/>
    <col width="11" customWidth="1" min="22" max="22"/>
    <col width="233" customWidth="1" min="23" max="23"/>
    <col width="60" customWidth="1" min="24" max="24"/>
    <col width="60" customWidth="1" min="25" max="25"/>
    <col width="16" customWidth="1" min="26" max="26"/>
    <col width="11" customWidth="1" min="27" max="27"/>
    <col width="11" customWidth="1" min="28" max="28"/>
    <col width="243" customWidth="1" min="29" max="29"/>
    <col width="62" customWidth="1" min="30" max="30"/>
    <col width="62" customWidth="1" min="31" max="31"/>
    <col width="18" customWidth="1" min="32" max="32"/>
    <col width="11" customWidth="1" min="33" max="33"/>
    <col width="11" customWidth="1" min="34" max="34"/>
    <col width="243" customWidth="1" min="35" max="35"/>
    <col width="62" customWidth="1" min="36" max="36"/>
    <col width="62" customWidth="1" min="37" max="37"/>
    <col width="18" customWidth="1" min="38" max="38"/>
  </cols>
  <sheetData>
    <row r="1">
      <c r="A1" s="7" t="n"/>
      <c r="B1" s="7" t="n"/>
      <c r="C1" s="7" t="n"/>
      <c r="D1" s="7" t="n"/>
      <c r="E1" s="7" t="n"/>
      <c r="F1" s="7" t="n"/>
      <c r="G1" s="7" t="n"/>
      <c r="H1" s="7" t="n"/>
      <c r="I1" s="8" t="inlineStr">
        <is>
          <t>Felipe H.</t>
        </is>
      </c>
      <c r="O1" s="9" t="inlineStr">
        <is>
          <t>Amigo 2</t>
        </is>
      </c>
      <c r="U1" s="8" t="inlineStr">
        <is>
          <t>Amigo 3</t>
        </is>
      </c>
      <c r="AA1" s="9" t="inlineStr">
        <is>
          <t>Amigo 4</t>
        </is>
      </c>
      <c r="AG1" s="8" t="inlineStr">
        <is>
          <t>Amigo 5</t>
        </is>
      </c>
    </row>
    <row r="2">
      <c r="I2" s="10" t="inlineStr">
        <is>
          <t>Palp A</t>
        </is>
      </c>
      <c r="J2" s="10" t="inlineStr">
        <is>
          <t>Palp B</t>
        </is>
      </c>
      <c r="K2" s="10" t="inlineStr">
        <is>
          <t>Pts Base</t>
        </is>
      </c>
      <c r="L2" s="10" t="inlineStr">
        <is>
          <t>Bônus A</t>
        </is>
      </c>
      <c r="M2" s="10" t="inlineStr">
        <is>
          <t>Bônus B</t>
        </is>
      </c>
      <c r="N2" s="10" t="inlineStr">
        <is>
          <t>Total Jogo</t>
        </is>
      </c>
      <c r="O2" s="11" t="inlineStr">
        <is>
          <t>Palp A</t>
        </is>
      </c>
      <c r="P2" s="11" t="inlineStr">
        <is>
          <t>Palp B</t>
        </is>
      </c>
      <c r="Q2" s="11" t="inlineStr">
        <is>
          <t>Pts Base</t>
        </is>
      </c>
      <c r="R2" s="11" t="inlineStr">
        <is>
          <t>Bônus A</t>
        </is>
      </c>
      <c r="S2" s="11" t="inlineStr">
        <is>
          <t>Bônus B</t>
        </is>
      </c>
      <c r="T2" s="11" t="inlineStr">
        <is>
          <t>Total Jogo</t>
        </is>
      </c>
      <c r="U2" s="10" t="inlineStr">
        <is>
          <t>Palp A</t>
        </is>
      </c>
      <c r="V2" s="10" t="inlineStr">
        <is>
          <t>Palp B</t>
        </is>
      </c>
      <c r="W2" s="10" t="inlineStr">
        <is>
          <t>Pts Base</t>
        </is>
      </c>
      <c r="X2" s="10" t="inlineStr">
        <is>
          <t>Bônus A</t>
        </is>
      </c>
      <c r="Y2" s="10" t="inlineStr">
        <is>
          <t>Bônus B</t>
        </is>
      </c>
      <c r="Z2" s="10" t="inlineStr">
        <is>
          <t>Total Jogo</t>
        </is>
      </c>
      <c r="AA2" s="11" t="inlineStr">
        <is>
          <t>Palp A</t>
        </is>
      </c>
      <c r="AB2" s="11" t="inlineStr">
        <is>
          <t>Palp B</t>
        </is>
      </c>
      <c r="AC2" s="11" t="inlineStr">
        <is>
          <t>Pts Base</t>
        </is>
      </c>
      <c r="AD2" s="11" t="inlineStr">
        <is>
          <t>Bônus A</t>
        </is>
      </c>
      <c r="AE2" s="11" t="inlineStr">
        <is>
          <t>Bônus B</t>
        </is>
      </c>
      <c r="AF2" s="11" t="inlineStr">
        <is>
          <t>Total Jogo</t>
        </is>
      </c>
      <c r="AG2" s="10" t="inlineStr">
        <is>
          <t>Palp A</t>
        </is>
      </c>
      <c r="AH2" s="10" t="inlineStr">
        <is>
          <t>Palp B</t>
        </is>
      </c>
      <c r="AI2" s="10" t="inlineStr">
        <is>
          <t>Pts Base</t>
        </is>
      </c>
      <c r="AJ2" s="10" t="inlineStr">
        <is>
          <t>Bônus A</t>
        </is>
      </c>
      <c r="AK2" s="10" t="inlineStr">
        <is>
          <t>Bônus B</t>
        </is>
      </c>
      <c r="AL2" s="10" t="inlineStr">
        <is>
          <t>Total Jogo</t>
        </is>
      </c>
    </row>
    <row r="3">
      <c r="A3" s="12" t="n">
        <v>1</v>
      </c>
      <c r="B3" s="12" t="inlineStr">
        <is>
          <t>11/06/2026</t>
        </is>
      </c>
      <c r="C3" s="12" t="inlineStr">
        <is>
          <t>16:00</t>
        </is>
      </c>
      <c r="D3" s="13" t="inlineStr">
        <is>
          <t>Grupo A</t>
        </is>
      </c>
      <c r="E3" s="14" t="inlineStr">
        <is>
          <t>México</t>
        </is>
      </c>
      <c r="F3" s="15" t="inlineStr"/>
      <c r="G3" s="15" t="inlineStr"/>
      <c r="H3" s="13" t="inlineStr">
        <is>
          <t>Costa Rica</t>
        </is>
      </c>
      <c r="I3" s="12" t="n"/>
      <c r="J3" s="12" t="n"/>
      <c r="K3" s="12">
        <f>IF(OR(ISBLANK(F3), ISBLANK(G3)), 0, IF(AND(F3=I3, G3=J3), 25, IF(AND(SIGN(F3-G3)=SIGN(I3-J3), OR(AND(F3&gt;G3, F3=I3), AND(G3&gt;F3, G3=J3))), 18, IF(SIGN(F3-G3)=SIGN(I3-J3), 12, IF(OR(F3=I3, G3=J3), 5, 0)))))</f>
        <v/>
      </c>
      <c r="L3" s="16">
        <f>IF(OR(ISBLANK(F3), ISBLANK(I3)), 0, IF(F3=I3, 3, 0))</f>
        <v/>
      </c>
      <c r="M3" s="16">
        <f>IF(OR(ISBLANK(G3), ISBLANK(J3)), 0, IF(G3=J3, 3, 0))</f>
        <v/>
      </c>
      <c r="N3" s="5">
        <f>SUM(K3:M3)</f>
        <v/>
      </c>
      <c r="O3" s="12" t="n"/>
      <c r="P3" s="12" t="n"/>
      <c r="Q3" s="12">
        <f>IF(OR(ISBLANK(F3), ISBLANK(G3)), 0, IF(AND(F3=O3, G3=P3), 25, IF(AND(SIGN(F3-G3)=SIGN(O3-P3), OR(AND(F3&gt;G3, F3=O3), AND(G3&gt;F3, G3=P3))), 18, IF(SIGN(F3-G3)=SIGN(O3-P3), 12, IF(OR(F3=O3, G3=P3), 5, 0)))))</f>
        <v/>
      </c>
      <c r="R3" s="16">
        <f>IF(OR(ISBLANK(F3), ISBLANK(O3)), 0, IF(F3=O3, 3, 0))</f>
        <v/>
      </c>
      <c r="S3" s="16">
        <f>IF(OR(ISBLANK(G3), ISBLANK(P3)), 0, IF(G3=P3, 3, 0))</f>
        <v/>
      </c>
      <c r="T3" s="5">
        <f>SUM(Q3:S3)</f>
        <v/>
      </c>
      <c r="U3" s="12" t="n"/>
      <c r="V3" s="12" t="n"/>
      <c r="W3" s="12">
        <f>IF(OR(ISBLANK(F3), ISBLANK(G3)), 0, IF(AND(F3=U3, G3=V3), 25, IF(AND(SIGN(F3-G3)=SIGN(U3-V3), OR(AND(F3&gt;G3, F3=U3), AND(G3&gt;F3, G3=V3))), 18, IF(SIGN(F3-G3)=SIGN(U3-V3), 12, IF(OR(F3=U3, G3=V3), 5, 0)))))</f>
        <v/>
      </c>
      <c r="X3" s="16">
        <f>IF(OR(ISBLANK(F3), ISBLANK(U3)), 0, IF(F3=U3, 3, 0))</f>
        <v/>
      </c>
      <c r="Y3" s="16">
        <f>IF(OR(ISBLANK(G3), ISBLANK(V3)), 0, IF(G3=V3, 3, 0))</f>
        <v/>
      </c>
      <c r="Z3" s="5">
        <f>SUM(W3:Y3)</f>
        <v/>
      </c>
      <c r="AA3" s="12" t="n"/>
      <c r="AB3" s="12" t="n"/>
      <c r="AC3" s="12">
        <f>IF(OR(ISBLANK(F3), ISBLANK(G3)), 0, IF(AND(F3=AA3, G3=AB3), 25, IF(AND(SIGN(F3-G3)=SIGN(AA3-AB3), OR(AND(F3&gt;G3, F3=AA3), AND(G3&gt;F3, G3=AB3))), 18, IF(SIGN(F3-G3)=SIGN(AA3-AB3), 12, IF(OR(F3=AA3, G3=AB3), 5, 0)))))</f>
        <v/>
      </c>
      <c r="AD3" s="16">
        <f>IF(OR(ISBLANK(F3), ISBLANK(AA3)), 0, IF(F3=AA3, 3, 0))</f>
        <v/>
      </c>
      <c r="AE3" s="16">
        <f>IF(OR(ISBLANK(G3), ISBLANK(AB3)), 0, IF(G3=AB3, 3, 0))</f>
        <v/>
      </c>
      <c r="AF3" s="5">
        <f>SUM(AC3:AE3)</f>
        <v/>
      </c>
      <c r="AG3" s="12" t="n"/>
      <c r="AH3" s="12" t="n"/>
      <c r="AI3" s="12">
        <f>IF(OR(ISBLANK(F3), ISBLANK(G3)), 0, IF(AND(F3=AG3, G3=AH3), 25, IF(AND(SIGN(F3-G3)=SIGN(AG3-AH3), OR(AND(F3&gt;G3, F3=AG3), AND(G3&gt;F3, G3=AH3))), 18, IF(SIGN(F3-G3)=SIGN(AG3-AH3), 12, IF(OR(F3=AG3, G3=AH3), 5, 0)))))</f>
        <v/>
      </c>
      <c r="AJ3" s="16">
        <f>IF(OR(ISBLANK(F3), ISBLANK(AG3)), 0, IF(F3=AG3, 3, 0))</f>
        <v/>
      </c>
      <c r="AK3" s="16">
        <f>IF(OR(ISBLANK(G3), ISBLANK(AH3)), 0, IF(G3=AH3, 3, 0))</f>
        <v/>
      </c>
      <c r="AL3" s="5">
        <f>SUM(AI3:AK3)</f>
        <v/>
      </c>
    </row>
    <row r="4">
      <c r="A4" s="12" t="n">
        <v>2</v>
      </c>
      <c r="B4" s="12" t="inlineStr">
        <is>
          <t>11/06/2026</t>
        </is>
      </c>
      <c r="C4" s="12" t="inlineStr">
        <is>
          <t>13:00</t>
        </is>
      </c>
      <c r="D4" s="13" t="inlineStr">
        <is>
          <t>Grupo B</t>
        </is>
      </c>
      <c r="E4" s="14" t="inlineStr">
        <is>
          <t>Brasil</t>
        </is>
      </c>
      <c r="F4" s="15" t="inlineStr"/>
      <c r="G4" s="15" t="inlineStr"/>
      <c r="H4" s="13" t="inlineStr">
        <is>
          <t>Marrocos</t>
        </is>
      </c>
      <c r="I4" s="12" t="n"/>
      <c r="J4" s="12" t="n"/>
      <c r="K4" s="12">
        <f>IF(OR(ISBLANK(F4), ISBLANK(G4)), 0, IF(AND(F4=I4, G4=J4), 25, IF(AND(SIGN(F4-G4)=SIGN(I4-J4), OR(AND(F4&gt;G4, F4=I4), AND(G4&gt;F4, G4=J4))), 18, IF(SIGN(F4-G4)=SIGN(I4-J4), 12, IF(OR(F4=I4, G4=J4), 5, 0)))))</f>
        <v/>
      </c>
      <c r="L4" s="16">
        <f>IF(OR(ISBLANK(F4), ISBLANK(I4)), 0, IF(F4=I4, 3, 0))</f>
        <v/>
      </c>
      <c r="M4" s="16">
        <f>IF(OR(ISBLANK(G4), ISBLANK(J4)), 0, IF(G4=J4, 3, 0))</f>
        <v/>
      </c>
      <c r="N4" s="5">
        <f>SUM(K4:M4)</f>
        <v/>
      </c>
      <c r="O4" s="12" t="n"/>
      <c r="P4" s="12" t="n"/>
      <c r="Q4" s="12">
        <f>IF(OR(ISBLANK(F4), ISBLANK(G4)), 0, IF(AND(F4=O4, G4=P4), 25, IF(AND(SIGN(F4-G4)=SIGN(O4-P4), OR(AND(F4&gt;G4, F4=O4), AND(G4&gt;F4, G4=P4))), 18, IF(SIGN(F4-G4)=SIGN(O4-P4), 12, IF(OR(F4=O4, G4=P4), 5, 0)))))</f>
        <v/>
      </c>
      <c r="R4" s="16">
        <f>IF(OR(ISBLANK(F4), ISBLANK(O4)), 0, IF(F4=O4, 3, 0))</f>
        <v/>
      </c>
      <c r="S4" s="16">
        <f>IF(OR(ISBLANK(G4), ISBLANK(P4)), 0, IF(G4=P4, 3, 0))</f>
        <v/>
      </c>
      <c r="T4" s="5">
        <f>SUM(Q4:S4)</f>
        <v/>
      </c>
      <c r="U4" s="12" t="n"/>
      <c r="V4" s="12" t="n"/>
      <c r="W4" s="12">
        <f>IF(OR(ISBLANK(F4), ISBLANK(G4)), 0, IF(AND(F4=U4, G4=V4), 25, IF(AND(SIGN(F4-G4)=SIGN(U4-V4), OR(AND(F4&gt;G4, F4=U4), AND(G4&gt;F4, G4=V4))), 18, IF(SIGN(F4-G4)=SIGN(U4-V4), 12, IF(OR(F4=U4, G4=V4), 5, 0)))))</f>
        <v/>
      </c>
      <c r="X4" s="16">
        <f>IF(OR(ISBLANK(F4), ISBLANK(U4)), 0, IF(F4=U4, 3, 0))</f>
        <v/>
      </c>
      <c r="Y4" s="16">
        <f>IF(OR(ISBLANK(G4), ISBLANK(V4)), 0, IF(G4=V4, 3, 0))</f>
        <v/>
      </c>
      <c r="Z4" s="5">
        <f>SUM(W4:Y4)</f>
        <v/>
      </c>
      <c r="AA4" s="12" t="n"/>
      <c r="AB4" s="12" t="n"/>
      <c r="AC4" s="12">
        <f>IF(OR(ISBLANK(F4), ISBLANK(G4)), 0, IF(AND(F4=AA4, G4=AB4), 25, IF(AND(SIGN(F4-G4)=SIGN(AA4-AB4), OR(AND(F4&gt;G4, F4=AA4), AND(G4&gt;F4, G4=AB4))), 18, IF(SIGN(F4-G4)=SIGN(AA4-AB4), 12, IF(OR(F4=AA4, G4=AB4), 5, 0)))))</f>
        <v/>
      </c>
      <c r="AD4" s="16">
        <f>IF(OR(ISBLANK(F4), ISBLANK(AA4)), 0, IF(F4=AA4, 3, 0))</f>
        <v/>
      </c>
      <c r="AE4" s="16">
        <f>IF(OR(ISBLANK(G4), ISBLANK(AB4)), 0, IF(G4=AB4, 3, 0))</f>
        <v/>
      </c>
      <c r="AF4" s="5">
        <f>SUM(AC4:AE4)</f>
        <v/>
      </c>
      <c r="AG4" s="12" t="n"/>
      <c r="AH4" s="12" t="n"/>
      <c r="AI4" s="12">
        <f>IF(OR(ISBLANK(F4), ISBLANK(G4)), 0, IF(AND(F4=AG4, G4=AH4), 25, IF(AND(SIGN(F4-G4)=SIGN(AG4-AH4), OR(AND(F4&gt;G4, F4=AG4), AND(G4&gt;F4, G4=AH4))), 18, IF(SIGN(F4-G4)=SIGN(AG4-AH4), 12, IF(OR(F4=AG4, G4=AH4), 5, 0)))))</f>
        <v/>
      </c>
      <c r="AJ4" s="16">
        <f>IF(OR(ISBLANK(F4), ISBLANK(AG4)), 0, IF(F4=AG4, 3, 0))</f>
        <v/>
      </c>
      <c r="AK4" s="16">
        <f>IF(OR(ISBLANK(G4), ISBLANK(AH4)), 0, IF(G4=AH4, 3, 0))</f>
        <v/>
      </c>
      <c r="AL4" s="5">
        <f>SUM(AI4:AK4)</f>
        <v/>
      </c>
    </row>
    <row r="5">
      <c r="A5" s="12" t="n">
        <v>3</v>
      </c>
      <c r="B5" s="12" t="inlineStr">
        <is>
          <t>11/06/2026</t>
        </is>
      </c>
      <c r="C5" s="12" t="inlineStr">
        <is>
          <t>16:00</t>
        </is>
      </c>
      <c r="D5" s="13" t="inlineStr">
        <is>
          <t>Grupo C</t>
        </is>
      </c>
      <c r="E5" s="14" t="inlineStr">
        <is>
          <t>Argentina</t>
        </is>
      </c>
      <c r="F5" s="15" t="inlineStr"/>
      <c r="G5" s="15" t="inlineStr"/>
      <c r="H5" s="13" t="inlineStr">
        <is>
          <t>Itália</t>
        </is>
      </c>
      <c r="I5" s="12" t="n"/>
      <c r="J5" s="12" t="n"/>
      <c r="K5" s="12">
        <f>IF(OR(ISBLANK(F5), ISBLANK(G5)), 0, IF(AND(F5=I5, G5=J5), 25, IF(AND(SIGN(F5-G5)=SIGN(I5-J5), OR(AND(F5&gt;G5, F5=I5), AND(G5&gt;F5, G5=J5))), 18, IF(SIGN(F5-G5)=SIGN(I5-J5), 12, IF(OR(F5=I5, G5=J5), 5, 0)))))</f>
        <v/>
      </c>
      <c r="L5" s="16">
        <f>IF(OR(ISBLANK(F5), ISBLANK(I5)), 0, IF(F5=I5, 3, 0))</f>
        <v/>
      </c>
      <c r="M5" s="16">
        <f>IF(OR(ISBLANK(G5), ISBLANK(J5)), 0, IF(G5=J5, 3, 0))</f>
        <v/>
      </c>
      <c r="N5" s="5">
        <f>SUM(K5:M5)</f>
        <v/>
      </c>
      <c r="O5" s="12" t="n"/>
      <c r="P5" s="12" t="n"/>
      <c r="Q5" s="12">
        <f>IF(OR(ISBLANK(F5), ISBLANK(G5)), 0, IF(AND(F5=O5, G5=P5), 25, IF(AND(SIGN(F5-G5)=SIGN(O5-P5), OR(AND(F5&gt;G5, F5=O5), AND(G5&gt;F5, G5=P5))), 18, IF(SIGN(F5-G5)=SIGN(O5-P5), 12, IF(OR(F5=O5, G5=P5), 5, 0)))))</f>
        <v/>
      </c>
      <c r="R5" s="16">
        <f>IF(OR(ISBLANK(F5), ISBLANK(O5)), 0, IF(F5=O5, 3, 0))</f>
        <v/>
      </c>
      <c r="S5" s="16">
        <f>IF(OR(ISBLANK(G5), ISBLANK(P5)), 0, IF(G5=P5, 3, 0))</f>
        <v/>
      </c>
      <c r="T5" s="5">
        <f>SUM(Q5:S5)</f>
        <v/>
      </c>
      <c r="U5" s="12" t="n"/>
      <c r="V5" s="12" t="n"/>
      <c r="W5" s="12">
        <f>IF(OR(ISBLANK(F5), ISBLANK(G5)), 0, IF(AND(F5=U5, G5=V5), 25, IF(AND(SIGN(F5-G5)=SIGN(U5-V5), OR(AND(F5&gt;G5, F5=U5), AND(G5&gt;F5, G5=V5))), 18, IF(SIGN(F5-G5)=SIGN(U5-V5), 12, IF(OR(F5=U5, G5=V5), 5, 0)))))</f>
        <v/>
      </c>
      <c r="X5" s="16">
        <f>IF(OR(ISBLANK(F5), ISBLANK(U5)), 0, IF(F5=U5, 3, 0))</f>
        <v/>
      </c>
      <c r="Y5" s="16">
        <f>IF(OR(ISBLANK(G5), ISBLANK(V5)), 0, IF(G5=V5, 3, 0))</f>
        <v/>
      </c>
      <c r="Z5" s="5">
        <f>SUM(W5:Y5)</f>
        <v/>
      </c>
      <c r="AA5" s="12" t="n"/>
      <c r="AB5" s="12" t="n"/>
      <c r="AC5" s="12">
        <f>IF(OR(ISBLANK(F5), ISBLANK(G5)), 0, IF(AND(F5=AA5, G5=AB5), 25, IF(AND(SIGN(F5-G5)=SIGN(AA5-AB5), OR(AND(F5&gt;G5, F5=AA5), AND(G5&gt;F5, G5=AB5))), 18, IF(SIGN(F5-G5)=SIGN(AA5-AB5), 12, IF(OR(F5=AA5, G5=AB5), 5, 0)))))</f>
        <v/>
      </c>
      <c r="AD5" s="16">
        <f>IF(OR(ISBLANK(F5), ISBLANK(AA5)), 0, IF(F5=AA5, 3, 0))</f>
        <v/>
      </c>
      <c r="AE5" s="16">
        <f>IF(OR(ISBLANK(G5), ISBLANK(AB5)), 0, IF(G5=AB5, 3, 0))</f>
        <v/>
      </c>
      <c r="AF5" s="5">
        <f>SUM(AC5:AE5)</f>
        <v/>
      </c>
      <c r="AG5" s="12" t="n"/>
      <c r="AH5" s="12" t="n"/>
      <c r="AI5" s="12">
        <f>IF(OR(ISBLANK(F5), ISBLANK(G5)), 0, IF(AND(F5=AG5, G5=AH5), 25, IF(AND(SIGN(F5-G5)=SIGN(AG5-AH5), OR(AND(F5&gt;G5, F5=AG5), AND(G5&gt;F5, G5=AH5))), 18, IF(SIGN(F5-G5)=SIGN(AG5-AH5), 12, IF(OR(F5=AG5, G5=AH5), 5, 0)))))</f>
        <v/>
      </c>
      <c r="AJ5" s="16">
        <f>IF(OR(ISBLANK(F5), ISBLANK(AG5)), 0, IF(F5=AG5, 3, 0))</f>
        <v/>
      </c>
      <c r="AK5" s="16">
        <f>IF(OR(ISBLANK(G5), ISBLANK(AH5)), 0, IF(G5=AH5, 3, 0))</f>
        <v/>
      </c>
      <c r="AL5" s="5">
        <f>SUM(AI5:AK5)</f>
        <v/>
      </c>
    </row>
    <row r="6">
      <c r="A6" s="12" t="n">
        <v>4</v>
      </c>
      <c r="B6" s="12" t="inlineStr">
        <is>
          <t>11/06/2026</t>
        </is>
      </c>
      <c r="C6" s="12" t="inlineStr">
        <is>
          <t>13:00</t>
        </is>
      </c>
      <c r="D6" s="13" t="inlineStr">
        <is>
          <t>Grupo D</t>
        </is>
      </c>
      <c r="E6" s="14" t="inlineStr">
        <is>
          <t>Alemanha</t>
        </is>
      </c>
      <c r="F6" s="15" t="inlineStr"/>
      <c r="G6" s="15" t="inlineStr"/>
      <c r="H6" s="13" t="inlineStr">
        <is>
          <t>Colômbia</t>
        </is>
      </c>
      <c r="I6" s="12" t="n"/>
      <c r="J6" s="12" t="n"/>
      <c r="K6" s="12">
        <f>IF(OR(ISBLANK(F6), ISBLANK(G6)), 0, IF(AND(F6=I6, G6=J6), 25, IF(AND(SIGN(F6-G6)=SIGN(I6-J6), OR(AND(F6&gt;G6, F6=I6), AND(G6&gt;F6, G6=J6))), 18, IF(SIGN(F6-G6)=SIGN(I6-J6), 12, IF(OR(F6=I6, G6=J6), 5, 0)))))</f>
        <v/>
      </c>
      <c r="L6" s="16">
        <f>IF(OR(ISBLANK(F6), ISBLANK(I6)), 0, IF(F6=I6, 3, 0))</f>
        <v/>
      </c>
      <c r="M6" s="16">
        <f>IF(OR(ISBLANK(G6), ISBLANK(J6)), 0, IF(G6=J6, 3, 0))</f>
        <v/>
      </c>
      <c r="N6" s="5">
        <f>SUM(K6:M6)</f>
        <v/>
      </c>
      <c r="O6" s="12" t="n"/>
      <c r="P6" s="12" t="n"/>
      <c r="Q6" s="12">
        <f>IF(OR(ISBLANK(F6), ISBLANK(G6)), 0, IF(AND(F6=O6, G6=P6), 25, IF(AND(SIGN(F6-G6)=SIGN(O6-P6), OR(AND(F6&gt;G6, F6=O6), AND(G6&gt;F6, G6=P6))), 18, IF(SIGN(F6-G6)=SIGN(O6-P6), 12, IF(OR(F6=O6, G6=P6), 5, 0)))))</f>
        <v/>
      </c>
      <c r="R6" s="16">
        <f>IF(OR(ISBLANK(F6), ISBLANK(O6)), 0, IF(F6=O6, 3, 0))</f>
        <v/>
      </c>
      <c r="S6" s="16">
        <f>IF(OR(ISBLANK(G6), ISBLANK(P6)), 0, IF(G6=P6, 3, 0))</f>
        <v/>
      </c>
      <c r="T6" s="5">
        <f>SUM(Q6:S6)</f>
        <v/>
      </c>
      <c r="U6" s="12" t="n"/>
      <c r="V6" s="12" t="n"/>
      <c r="W6" s="12">
        <f>IF(OR(ISBLANK(F6), ISBLANK(G6)), 0, IF(AND(F6=U6, G6=V6), 25, IF(AND(SIGN(F6-G6)=SIGN(U6-V6), OR(AND(F6&gt;G6, F6=U6), AND(G6&gt;F6, G6=V6))), 18, IF(SIGN(F6-G6)=SIGN(U6-V6), 12, IF(OR(F6=U6, G6=V6), 5, 0)))))</f>
        <v/>
      </c>
      <c r="X6" s="16">
        <f>IF(OR(ISBLANK(F6), ISBLANK(U6)), 0, IF(F6=U6, 3, 0))</f>
        <v/>
      </c>
      <c r="Y6" s="16">
        <f>IF(OR(ISBLANK(G6), ISBLANK(V6)), 0, IF(G6=V6, 3, 0))</f>
        <v/>
      </c>
      <c r="Z6" s="5">
        <f>SUM(W6:Y6)</f>
        <v/>
      </c>
      <c r="AA6" s="12" t="n"/>
      <c r="AB6" s="12" t="n"/>
      <c r="AC6" s="12">
        <f>IF(OR(ISBLANK(F6), ISBLANK(G6)), 0, IF(AND(F6=AA6, G6=AB6), 25, IF(AND(SIGN(F6-G6)=SIGN(AA6-AB6), OR(AND(F6&gt;G6, F6=AA6), AND(G6&gt;F6, G6=AB6))), 18, IF(SIGN(F6-G6)=SIGN(AA6-AB6), 12, IF(OR(F6=AA6, G6=AB6), 5, 0)))))</f>
        <v/>
      </c>
      <c r="AD6" s="16">
        <f>IF(OR(ISBLANK(F6), ISBLANK(AA6)), 0, IF(F6=AA6, 3, 0))</f>
        <v/>
      </c>
      <c r="AE6" s="16">
        <f>IF(OR(ISBLANK(G6), ISBLANK(AB6)), 0, IF(G6=AB6, 3, 0))</f>
        <v/>
      </c>
      <c r="AF6" s="5">
        <f>SUM(AC6:AE6)</f>
        <v/>
      </c>
      <c r="AG6" s="12" t="n"/>
      <c r="AH6" s="12" t="n"/>
      <c r="AI6" s="12">
        <f>IF(OR(ISBLANK(F6), ISBLANK(G6)), 0, IF(AND(F6=AG6, G6=AH6), 25, IF(AND(SIGN(F6-G6)=SIGN(AG6-AH6), OR(AND(F6&gt;G6, F6=AG6), AND(G6&gt;F6, G6=AH6))), 18, IF(SIGN(F6-G6)=SIGN(AG6-AH6), 12, IF(OR(F6=AG6, G6=AH6), 5, 0)))))</f>
        <v/>
      </c>
      <c r="AJ6" s="16">
        <f>IF(OR(ISBLANK(F6), ISBLANK(AG6)), 0, IF(F6=AG6, 3, 0))</f>
        <v/>
      </c>
      <c r="AK6" s="16">
        <f>IF(OR(ISBLANK(G6), ISBLANK(AH6)), 0, IF(G6=AH6, 3, 0))</f>
        <v/>
      </c>
      <c r="AL6" s="5">
        <f>SUM(AI6:AK6)</f>
        <v/>
      </c>
    </row>
    <row r="7">
      <c r="A7" s="12" t="n">
        <v>5</v>
      </c>
      <c r="B7" s="12" t="inlineStr">
        <is>
          <t>11/06/2026</t>
        </is>
      </c>
      <c r="C7" s="12" t="inlineStr">
        <is>
          <t>16:00</t>
        </is>
      </c>
      <c r="D7" s="13" t="inlineStr">
        <is>
          <t>Grupo E</t>
        </is>
      </c>
      <c r="E7" s="14" t="inlineStr">
        <is>
          <t>Uruguai</t>
        </is>
      </c>
      <c r="F7" s="15" t="inlineStr"/>
      <c r="G7" s="15" t="inlineStr"/>
      <c r="H7" s="13" t="inlineStr">
        <is>
          <t>Camarões</t>
        </is>
      </c>
      <c r="I7" s="12" t="n"/>
      <c r="J7" s="12" t="n"/>
      <c r="K7" s="12">
        <f>IF(OR(ISBLANK(F7), ISBLANK(G7)), 0, IF(AND(F7=I7, G7=J7), 25, IF(AND(SIGN(F7-G7)=SIGN(I7-J7), OR(AND(F7&gt;G7, F7=I7), AND(G7&gt;F7, G7=J7))), 18, IF(SIGN(F7-G7)=SIGN(I7-J7), 12, IF(OR(F7=I7, G7=J7), 5, 0)))))</f>
        <v/>
      </c>
      <c r="L7" s="16">
        <f>IF(OR(ISBLANK(F7), ISBLANK(I7)), 0, IF(F7=I7, 3, 0))</f>
        <v/>
      </c>
      <c r="M7" s="16">
        <f>IF(OR(ISBLANK(G7), ISBLANK(J7)), 0, IF(G7=J7, 3, 0))</f>
        <v/>
      </c>
      <c r="N7" s="5">
        <f>SUM(K7:M7)</f>
        <v/>
      </c>
      <c r="O7" s="12" t="n"/>
      <c r="P7" s="12" t="n"/>
      <c r="Q7" s="12">
        <f>IF(OR(ISBLANK(F7), ISBLANK(G7)), 0, IF(AND(F7=O7, G7=P7), 25, IF(AND(SIGN(F7-G7)=SIGN(O7-P7), OR(AND(F7&gt;G7, F7=O7), AND(G7&gt;F7, G7=P7))), 18, IF(SIGN(F7-G7)=SIGN(O7-P7), 12, IF(OR(F7=O7, G7=P7), 5, 0)))))</f>
        <v/>
      </c>
      <c r="R7" s="16">
        <f>IF(OR(ISBLANK(F7), ISBLANK(O7)), 0, IF(F7=O7, 3, 0))</f>
        <v/>
      </c>
      <c r="S7" s="16">
        <f>IF(OR(ISBLANK(G7), ISBLANK(P7)), 0, IF(G7=P7, 3, 0))</f>
        <v/>
      </c>
      <c r="T7" s="5">
        <f>SUM(Q7:S7)</f>
        <v/>
      </c>
      <c r="U7" s="12" t="n"/>
      <c r="V7" s="12" t="n"/>
      <c r="W7" s="12">
        <f>IF(OR(ISBLANK(F7), ISBLANK(G7)), 0, IF(AND(F7=U7, G7=V7), 25, IF(AND(SIGN(F7-G7)=SIGN(U7-V7), OR(AND(F7&gt;G7, F7=U7), AND(G7&gt;F7, G7=V7))), 18, IF(SIGN(F7-G7)=SIGN(U7-V7), 12, IF(OR(F7=U7, G7=V7), 5, 0)))))</f>
        <v/>
      </c>
      <c r="X7" s="16">
        <f>IF(OR(ISBLANK(F7), ISBLANK(U7)), 0, IF(F7=U7, 3, 0))</f>
        <v/>
      </c>
      <c r="Y7" s="16">
        <f>IF(OR(ISBLANK(G7), ISBLANK(V7)), 0, IF(G7=V7, 3, 0))</f>
        <v/>
      </c>
      <c r="Z7" s="5">
        <f>SUM(W7:Y7)</f>
        <v/>
      </c>
      <c r="AA7" s="12" t="n"/>
      <c r="AB7" s="12" t="n"/>
      <c r="AC7" s="12">
        <f>IF(OR(ISBLANK(F7), ISBLANK(G7)), 0, IF(AND(F7=AA7, G7=AB7), 25, IF(AND(SIGN(F7-G7)=SIGN(AA7-AB7), OR(AND(F7&gt;G7, F7=AA7), AND(G7&gt;F7, G7=AB7))), 18, IF(SIGN(F7-G7)=SIGN(AA7-AB7), 12, IF(OR(F7=AA7, G7=AB7), 5, 0)))))</f>
        <v/>
      </c>
      <c r="AD7" s="16">
        <f>IF(OR(ISBLANK(F7), ISBLANK(AA7)), 0, IF(F7=AA7, 3, 0))</f>
        <v/>
      </c>
      <c r="AE7" s="16">
        <f>IF(OR(ISBLANK(G7), ISBLANK(AB7)), 0, IF(G7=AB7, 3, 0))</f>
        <v/>
      </c>
      <c r="AF7" s="5">
        <f>SUM(AC7:AE7)</f>
        <v/>
      </c>
      <c r="AG7" s="12" t="n"/>
      <c r="AH7" s="12" t="n"/>
      <c r="AI7" s="12">
        <f>IF(OR(ISBLANK(F7), ISBLANK(G7)), 0, IF(AND(F7=AG7, G7=AH7), 25, IF(AND(SIGN(F7-G7)=SIGN(AG7-AH7), OR(AND(F7&gt;G7, F7=AG7), AND(G7&gt;F7, G7=AH7))), 18, IF(SIGN(F7-G7)=SIGN(AG7-AH7), 12, IF(OR(F7=AG7, G7=AH7), 5, 0)))))</f>
        <v/>
      </c>
      <c r="AJ7" s="16">
        <f>IF(OR(ISBLANK(F7), ISBLANK(AG7)), 0, IF(F7=AG7, 3, 0))</f>
        <v/>
      </c>
      <c r="AK7" s="16">
        <f>IF(OR(ISBLANK(G7), ISBLANK(AH7)), 0, IF(G7=AH7, 3, 0))</f>
        <v/>
      </c>
      <c r="AL7" s="5">
        <f>SUM(AI7:AK7)</f>
        <v/>
      </c>
    </row>
    <row r="8">
      <c r="A8" s="12" t="n">
        <v>6</v>
      </c>
      <c r="B8" s="12" t="inlineStr">
        <is>
          <t>11/06/2026</t>
        </is>
      </c>
      <c r="C8" s="12" t="inlineStr">
        <is>
          <t>13:00</t>
        </is>
      </c>
      <c r="D8" s="13" t="inlineStr">
        <is>
          <t>Grupo F</t>
        </is>
      </c>
      <c r="E8" s="14" t="inlineStr">
        <is>
          <t>Holanda</t>
        </is>
      </c>
      <c r="F8" s="15" t="inlineStr"/>
      <c r="G8" s="15" t="inlineStr"/>
      <c r="H8" s="13" t="inlineStr">
        <is>
          <t>Tunísia</t>
        </is>
      </c>
      <c r="I8" s="12" t="n"/>
      <c r="J8" s="12" t="n"/>
      <c r="K8" s="12">
        <f>IF(OR(ISBLANK(F8), ISBLANK(G8)), 0, IF(AND(F8=I8, G8=J8), 25, IF(AND(SIGN(F8-G8)=SIGN(I8-J8), OR(AND(F8&gt;G8, F8=I8), AND(G8&gt;F8, G8=J8))), 18, IF(SIGN(F8-G8)=SIGN(I8-J8), 12, IF(OR(F8=I8, G8=J8), 5, 0)))))</f>
        <v/>
      </c>
      <c r="L8" s="16">
        <f>IF(OR(ISBLANK(F8), ISBLANK(I8)), 0, IF(F8=I8, 3, 0))</f>
        <v/>
      </c>
      <c r="M8" s="16">
        <f>IF(OR(ISBLANK(G8), ISBLANK(J8)), 0, IF(G8=J8, 3, 0))</f>
        <v/>
      </c>
      <c r="N8" s="5">
        <f>SUM(K8:M8)</f>
        <v/>
      </c>
      <c r="O8" s="12" t="n"/>
      <c r="P8" s="12" t="n"/>
      <c r="Q8" s="12">
        <f>IF(OR(ISBLANK(F8), ISBLANK(G8)), 0, IF(AND(F8=O8, G8=P8), 25, IF(AND(SIGN(F8-G8)=SIGN(O8-P8), OR(AND(F8&gt;G8, F8=O8), AND(G8&gt;F8, G8=P8))), 18, IF(SIGN(F8-G8)=SIGN(O8-P8), 12, IF(OR(F8=O8, G8=P8), 5, 0)))))</f>
        <v/>
      </c>
      <c r="R8" s="16">
        <f>IF(OR(ISBLANK(F8), ISBLANK(O8)), 0, IF(F8=O8, 3, 0))</f>
        <v/>
      </c>
      <c r="S8" s="16">
        <f>IF(OR(ISBLANK(G8), ISBLANK(P8)), 0, IF(G8=P8, 3, 0))</f>
        <v/>
      </c>
      <c r="T8" s="5">
        <f>SUM(Q8:S8)</f>
        <v/>
      </c>
      <c r="U8" s="12" t="n"/>
      <c r="V8" s="12" t="n"/>
      <c r="W8" s="12">
        <f>IF(OR(ISBLANK(F8), ISBLANK(G8)), 0, IF(AND(F8=U8, G8=V8), 25, IF(AND(SIGN(F8-G8)=SIGN(U8-V8), OR(AND(F8&gt;G8, F8=U8), AND(G8&gt;F8, G8=V8))), 18, IF(SIGN(F8-G8)=SIGN(U8-V8), 12, IF(OR(F8=U8, G8=V8), 5, 0)))))</f>
        <v/>
      </c>
      <c r="X8" s="16">
        <f>IF(OR(ISBLANK(F8), ISBLANK(U8)), 0, IF(F8=U8, 3, 0))</f>
        <v/>
      </c>
      <c r="Y8" s="16">
        <f>IF(OR(ISBLANK(G8), ISBLANK(V8)), 0, IF(G8=V8, 3, 0))</f>
        <v/>
      </c>
      <c r="Z8" s="5">
        <f>SUM(W8:Y8)</f>
        <v/>
      </c>
      <c r="AA8" s="12" t="n"/>
      <c r="AB8" s="12" t="n"/>
      <c r="AC8" s="12">
        <f>IF(OR(ISBLANK(F8), ISBLANK(G8)), 0, IF(AND(F8=AA8, G8=AB8), 25, IF(AND(SIGN(F8-G8)=SIGN(AA8-AB8), OR(AND(F8&gt;G8, F8=AA8), AND(G8&gt;F8, G8=AB8))), 18, IF(SIGN(F8-G8)=SIGN(AA8-AB8), 12, IF(OR(F8=AA8, G8=AB8), 5, 0)))))</f>
        <v/>
      </c>
      <c r="AD8" s="16">
        <f>IF(OR(ISBLANK(F8), ISBLANK(AA8)), 0, IF(F8=AA8, 3, 0))</f>
        <v/>
      </c>
      <c r="AE8" s="16">
        <f>IF(OR(ISBLANK(G8), ISBLANK(AB8)), 0, IF(G8=AB8, 3, 0))</f>
        <v/>
      </c>
      <c r="AF8" s="5">
        <f>SUM(AC8:AE8)</f>
        <v/>
      </c>
      <c r="AG8" s="12" t="n"/>
      <c r="AH8" s="12" t="n"/>
      <c r="AI8" s="12">
        <f>IF(OR(ISBLANK(F8), ISBLANK(G8)), 0, IF(AND(F8=AG8, G8=AH8), 25, IF(AND(SIGN(F8-G8)=SIGN(AG8-AH8), OR(AND(F8&gt;G8, F8=AG8), AND(G8&gt;F8, G8=AH8))), 18, IF(SIGN(F8-G8)=SIGN(AG8-AH8), 12, IF(OR(F8=AG8, G8=AH8), 5, 0)))))</f>
        <v/>
      </c>
      <c r="AJ8" s="16">
        <f>IF(OR(ISBLANK(F8), ISBLANK(AG8)), 0, IF(F8=AG8, 3, 0))</f>
        <v/>
      </c>
      <c r="AK8" s="16">
        <f>IF(OR(ISBLANK(G8), ISBLANK(AH8)), 0, IF(G8=AH8, 3, 0))</f>
        <v/>
      </c>
      <c r="AL8" s="5">
        <f>SUM(AI8:AK8)</f>
        <v/>
      </c>
    </row>
    <row r="9">
      <c r="A9" s="12" t="n">
        <v>7</v>
      </c>
      <c r="B9" s="12" t="inlineStr">
        <is>
          <t>11/06/2026</t>
        </is>
      </c>
      <c r="C9" s="12" t="inlineStr">
        <is>
          <t>16:00</t>
        </is>
      </c>
      <c r="D9" s="13" t="inlineStr">
        <is>
          <t>Grupo G</t>
        </is>
      </c>
      <c r="E9" s="14" t="inlineStr">
        <is>
          <t>Croácia</t>
        </is>
      </c>
      <c r="F9" s="15" t="inlineStr"/>
      <c r="G9" s="15" t="inlineStr"/>
      <c r="H9" s="13" t="inlineStr">
        <is>
          <t>Irã</t>
        </is>
      </c>
      <c r="I9" s="12" t="n"/>
      <c r="J9" s="12" t="n"/>
      <c r="K9" s="12">
        <f>IF(OR(ISBLANK(F9), ISBLANK(G9)), 0, IF(AND(F9=I9, G9=J9), 25, IF(AND(SIGN(F9-G9)=SIGN(I9-J9), OR(AND(F9&gt;G9, F9=I9), AND(G9&gt;F9, G9=J9))), 18, IF(SIGN(F9-G9)=SIGN(I9-J9), 12, IF(OR(F9=I9, G9=J9), 5, 0)))))</f>
        <v/>
      </c>
      <c r="L9" s="16">
        <f>IF(OR(ISBLANK(F9), ISBLANK(I9)), 0, IF(F9=I9, 3, 0))</f>
        <v/>
      </c>
      <c r="M9" s="16">
        <f>IF(OR(ISBLANK(G9), ISBLANK(J9)), 0, IF(G9=J9, 3, 0))</f>
        <v/>
      </c>
      <c r="N9" s="5">
        <f>SUM(K9:M9)</f>
        <v/>
      </c>
      <c r="O9" s="12" t="n"/>
      <c r="P9" s="12" t="n"/>
      <c r="Q9" s="12">
        <f>IF(OR(ISBLANK(F9), ISBLANK(G9)), 0, IF(AND(F9=O9, G9=P9), 25, IF(AND(SIGN(F9-G9)=SIGN(O9-P9), OR(AND(F9&gt;G9, F9=O9), AND(G9&gt;F9, G9=P9))), 18, IF(SIGN(F9-G9)=SIGN(O9-P9), 12, IF(OR(F9=O9, G9=P9), 5, 0)))))</f>
        <v/>
      </c>
      <c r="R9" s="16">
        <f>IF(OR(ISBLANK(F9), ISBLANK(O9)), 0, IF(F9=O9, 3, 0))</f>
        <v/>
      </c>
      <c r="S9" s="16">
        <f>IF(OR(ISBLANK(G9), ISBLANK(P9)), 0, IF(G9=P9, 3, 0))</f>
        <v/>
      </c>
      <c r="T9" s="5">
        <f>SUM(Q9:S9)</f>
        <v/>
      </c>
      <c r="U9" s="12" t="n"/>
      <c r="V9" s="12" t="n"/>
      <c r="W9" s="12">
        <f>IF(OR(ISBLANK(F9), ISBLANK(G9)), 0, IF(AND(F9=U9, G9=V9), 25, IF(AND(SIGN(F9-G9)=SIGN(U9-V9), OR(AND(F9&gt;G9, F9=U9), AND(G9&gt;F9, G9=V9))), 18, IF(SIGN(F9-G9)=SIGN(U9-V9), 12, IF(OR(F9=U9, G9=V9), 5, 0)))))</f>
        <v/>
      </c>
      <c r="X9" s="16">
        <f>IF(OR(ISBLANK(F9), ISBLANK(U9)), 0, IF(F9=U9, 3, 0))</f>
        <v/>
      </c>
      <c r="Y9" s="16">
        <f>IF(OR(ISBLANK(G9), ISBLANK(V9)), 0, IF(G9=V9, 3, 0))</f>
        <v/>
      </c>
      <c r="Z9" s="5">
        <f>SUM(W9:Y9)</f>
        <v/>
      </c>
      <c r="AA9" s="12" t="n"/>
      <c r="AB9" s="12" t="n"/>
      <c r="AC9" s="12">
        <f>IF(OR(ISBLANK(F9), ISBLANK(G9)), 0, IF(AND(F9=AA9, G9=AB9), 25, IF(AND(SIGN(F9-G9)=SIGN(AA9-AB9), OR(AND(F9&gt;G9, F9=AA9), AND(G9&gt;F9, G9=AB9))), 18, IF(SIGN(F9-G9)=SIGN(AA9-AB9), 12, IF(OR(F9=AA9, G9=AB9), 5, 0)))))</f>
        <v/>
      </c>
      <c r="AD9" s="16">
        <f>IF(OR(ISBLANK(F9), ISBLANK(AA9)), 0, IF(F9=AA9, 3, 0))</f>
        <v/>
      </c>
      <c r="AE9" s="16">
        <f>IF(OR(ISBLANK(G9), ISBLANK(AB9)), 0, IF(G9=AB9, 3, 0))</f>
        <v/>
      </c>
      <c r="AF9" s="5">
        <f>SUM(AC9:AE9)</f>
        <v/>
      </c>
      <c r="AG9" s="12" t="n"/>
      <c r="AH9" s="12" t="n"/>
      <c r="AI9" s="12">
        <f>IF(OR(ISBLANK(F9), ISBLANK(G9)), 0, IF(AND(F9=AG9, G9=AH9), 25, IF(AND(SIGN(F9-G9)=SIGN(AG9-AH9), OR(AND(F9&gt;G9, F9=AG9), AND(G9&gt;F9, G9=AH9))), 18, IF(SIGN(F9-G9)=SIGN(AG9-AH9), 12, IF(OR(F9=AG9, G9=AH9), 5, 0)))))</f>
        <v/>
      </c>
      <c r="AJ9" s="16">
        <f>IF(OR(ISBLANK(F9), ISBLANK(AG9)), 0, IF(F9=AG9, 3, 0))</f>
        <v/>
      </c>
      <c r="AK9" s="16">
        <f>IF(OR(ISBLANK(G9), ISBLANK(AH9)), 0, IF(G9=AH9, 3, 0))</f>
        <v/>
      </c>
      <c r="AL9" s="5">
        <f>SUM(AI9:AK9)</f>
        <v/>
      </c>
    </row>
    <row r="10">
      <c r="A10" s="12" t="n">
        <v>8</v>
      </c>
      <c r="B10" s="12" t="inlineStr">
        <is>
          <t>11/06/2026</t>
        </is>
      </c>
      <c r="C10" s="12" t="inlineStr">
        <is>
          <t>13:00</t>
        </is>
      </c>
      <c r="D10" s="13" t="inlineStr">
        <is>
          <t>Grupo H</t>
        </is>
      </c>
      <c r="E10" s="14" t="inlineStr">
        <is>
          <t>Senegal</t>
        </is>
      </c>
      <c r="F10" s="15" t="inlineStr"/>
      <c r="G10" s="15" t="inlineStr"/>
      <c r="H10" s="13" t="inlineStr">
        <is>
          <t>Peru</t>
        </is>
      </c>
      <c r="I10" s="12" t="n"/>
      <c r="J10" s="12" t="n"/>
      <c r="K10" s="12">
        <f>IF(OR(ISBLANK(F10), ISBLANK(G10)), 0, IF(AND(F10=I10, G10=J10), 25, IF(AND(SIGN(F10-G10)=SIGN(I10-J10), OR(AND(F10&gt;G10, F10=I10), AND(G10&gt;F10, G10=J10))), 18, IF(SIGN(F10-G10)=SIGN(I10-J10), 12, IF(OR(F10=I10, G10=J10), 5, 0)))))</f>
        <v/>
      </c>
      <c r="L10" s="16">
        <f>IF(OR(ISBLANK(F10), ISBLANK(I10)), 0, IF(F10=I10, 3, 0))</f>
        <v/>
      </c>
      <c r="M10" s="16">
        <f>IF(OR(ISBLANK(G10), ISBLANK(J10)), 0, IF(G10=J10, 3, 0))</f>
        <v/>
      </c>
      <c r="N10" s="5">
        <f>SUM(K10:M10)</f>
        <v/>
      </c>
      <c r="O10" s="12" t="n"/>
      <c r="P10" s="12" t="n"/>
      <c r="Q10" s="12">
        <f>IF(OR(ISBLANK(F10), ISBLANK(G10)), 0, IF(AND(F10=O10, G10=P10), 25, IF(AND(SIGN(F10-G10)=SIGN(O10-P10), OR(AND(F10&gt;G10, F10=O10), AND(G10&gt;F10, G10=P10))), 18, IF(SIGN(F10-G10)=SIGN(O10-P10), 12, IF(OR(F10=O10, G10=P10), 5, 0)))))</f>
        <v/>
      </c>
      <c r="R10" s="16">
        <f>IF(OR(ISBLANK(F10), ISBLANK(O10)), 0, IF(F10=O10, 3, 0))</f>
        <v/>
      </c>
      <c r="S10" s="16">
        <f>IF(OR(ISBLANK(G10), ISBLANK(P10)), 0, IF(G10=P10, 3, 0))</f>
        <v/>
      </c>
      <c r="T10" s="5">
        <f>SUM(Q10:S10)</f>
        <v/>
      </c>
      <c r="U10" s="12" t="n"/>
      <c r="V10" s="12" t="n"/>
      <c r="W10" s="12">
        <f>IF(OR(ISBLANK(F10), ISBLANK(G10)), 0, IF(AND(F10=U10, G10=V10), 25, IF(AND(SIGN(F10-G10)=SIGN(U10-V10), OR(AND(F10&gt;G10, F10=U10), AND(G10&gt;F10, G10=V10))), 18, IF(SIGN(F10-G10)=SIGN(U10-V10), 12, IF(OR(F10=U10, G10=V10), 5, 0)))))</f>
        <v/>
      </c>
      <c r="X10" s="16">
        <f>IF(OR(ISBLANK(F10), ISBLANK(U10)), 0, IF(F10=U10, 3, 0))</f>
        <v/>
      </c>
      <c r="Y10" s="16">
        <f>IF(OR(ISBLANK(G10), ISBLANK(V10)), 0, IF(G10=V10, 3, 0))</f>
        <v/>
      </c>
      <c r="Z10" s="5">
        <f>SUM(W10:Y10)</f>
        <v/>
      </c>
      <c r="AA10" s="12" t="n"/>
      <c r="AB10" s="12" t="n"/>
      <c r="AC10" s="12">
        <f>IF(OR(ISBLANK(F10), ISBLANK(G10)), 0, IF(AND(F10=AA10, G10=AB10), 25, IF(AND(SIGN(F10-G10)=SIGN(AA10-AB10), OR(AND(F10&gt;G10, F10=AA10), AND(G10&gt;F10, G10=AB10))), 18, IF(SIGN(F10-G10)=SIGN(AA10-AB10), 12, IF(OR(F10=AA10, G10=AB10), 5, 0)))))</f>
        <v/>
      </c>
      <c r="AD10" s="16">
        <f>IF(OR(ISBLANK(F10), ISBLANK(AA10)), 0, IF(F10=AA10, 3, 0))</f>
        <v/>
      </c>
      <c r="AE10" s="16">
        <f>IF(OR(ISBLANK(G10), ISBLANK(AB10)), 0, IF(G10=AB10, 3, 0))</f>
        <v/>
      </c>
      <c r="AF10" s="5">
        <f>SUM(AC10:AE10)</f>
        <v/>
      </c>
      <c r="AG10" s="12" t="n"/>
      <c r="AH10" s="12" t="n"/>
      <c r="AI10" s="12">
        <f>IF(OR(ISBLANK(F10), ISBLANK(G10)), 0, IF(AND(F10=AG10, G10=AH10), 25, IF(AND(SIGN(F10-G10)=SIGN(AG10-AH10), OR(AND(F10&gt;G10, F10=AG10), AND(G10&gt;F10, G10=AH10))), 18, IF(SIGN(F10-G10)=SIGN(AG10-AH10), 12, IF(OR(F10=AG10, G10=AH10), 5, 0)))))</f>
        <v/>
      </c>
      <c r="AJ10" s="16">
        <f>IF(OR(ISBLANK(F10), ISBLANK(AG10)), 0, IF(F10=AG10, 3, 0))</f>
        <v/>
      </c>
      <c r="AK10" s="16">
        <f>IF(OR(ISBLANK(G10), ISBLANK(AH10)), 0, IF(G10=AH10, 3, 0))</f>
        <v/>
      </c>
      <c r="AL10" s="5">
        <f>SUM(AI10:AK10)</f>
        <v/>
      </c>
    </row>
    <row r="11">
      <c r="A11" s="12" t="n">
        <v>9</v>
      </c>
      <c r="B11" s="12" t="inlineStr">
        <is>
          <t>11/06/2026</t>
        </is>
      </c>
      <c r="C11" s="12" t="inlineStr">
        <is>
          <t>16:00</t>
        </is>
      </c>
      <c r="D11" s="13" t="inlineStr">
        <is>
          <t>Grupo I</t>
        </is>
      </c>
      <c r="E11" s="14" t="inlineStr">
        <is>
          <t>México</t>
        </is>
      </c>
      <c r="F11" s="15" t="inlineStr"/>
      <c r="G11" s="15" t="inlineStr"/>
      <c r="H11" s="13" t="inlineStr">
        <is>
          <t>Costa Rica</t>
        </is>
      </c>
      <c r="I11" s="12" t="n"/>
      <c r="J11" s="12" t="n"/>
      <c r="K11" s="12">
        <f>IF(OR(ISBLANK(F11), ISBLANK(G11)), 0, IF(AND(F11=I11, G11=J11), 25, IF(AND(SIGN(F11-G11)=SIGN(I11-J11), OR(AND(F11&gt;G11, F11=I11), AND(G11&gt;F11, G11=J11))), 18, IF(SIGN(F11-G11)=SIGN(I11-J11), 12, IF(OR(F11=I11, G11=J11), 5, 0)))))</f>
        <v/>
      </c>
      <c r="L11" s="16">
        <f>IF(OR(ISBLANK(F11), ISBLANK(I11)), 0, IF(F11=I11, 3, 0))</f>
        <v/>
      </c>
      <c r="M11" s="16">
        <f>IF(OR(ISBLANK(G11), ISBLANK(J11)), 0, IF(G11=J11, 3, 0))</f>
        <v/>
      </c>
      <c r="N11" s="5">
        <f>SUM(K11:M11)</f>
        <v/>
      </c>
      <c r="O11" s="12" t="n"/>
      <c r="P11" s="12" t="n"/>
      <c r="Q11" s="12">
        <f>IF(OR(ISBLANK(F11), ISBLANK(G11)), 0, IF(AND(F11=O11, G11=P11), 25, IF(AND(SIGN(F11-G11)=SIGN(O11-P11), OR(AND(F11&gt;G11, F11=O11), AND(G11&gt;F11, G11=P11))), 18, IF(SIGN(F11-G11)=SIGN(O11-P11), 12, IF(OR(F11=O11, G11=P11), 5, 0)))))</f>
        <v/>
      </c>
      <c r="R11" s="16">
        <f>IF(OR(ISBLANK(F11), ISBLANK(O11)), 0, IF(F11=O11, 3, 0))</f>
        <v/>
      </c>
      <c r="S11" s="16">
        <f>IF(OR(ISBLANK(G11), ISBLANK(P11)), 0, IF(G11=P11, 3, 0))</f>
        <v/>
      </c>
      <c r="T11" s="5">
        <f>SUM(Q11:S11)</f>
        <v/>
      </c>
      <c r="U11" s="12" t="n"/>
      <c r="V11" s="12" t="n"/>
      <c r="W11" s="12">
        <f>IF(OR(ISBLANK(F11), ISBLANK(G11)), 0, IF(AND(F11=U11, G11=V11), 25, IF(AND(SIGN(F11-G11)=SIGN(U11-V11), OR(AND(F11&gt;G11, F11=U11), AND(G11&gt;F11, G11=V11))), 18, IF(SIGN(F11-G11)=SIGN(U11-V11), 12, IF(OR(F11=U11, G11=V11), 5, 0)))))</f>
        <v/>
      </c>
      <c r="X11" s="16">
        <f>IF(OR(ISBLANK(F11), ISBLANK(U11)), 0, IF(F11=U11, 3, 0))</f>
        <v/>
      </c>
      <c r="Y11" s="16">
        <f>IF(OR(ISBLANK(G11), ISBLANK(V11)), 0, IF(G11=V11, 3, 0))</f>
        <v/>
      </c>
      <c r="Z11" s="5">
        <f>SUM(W11:Y11)</f>
        <v/>
      </c>
      <c r="AA11" s="12" t="n"/>
      <c r="AB11" s="12" t="n"/>
      <c r="AC11" s="12">
        <f>IF(OR(ISBLANK(F11), ISBLANK(G11)), 0, IF(AND(F11=AA11, G11=AB11), 25, IF(AND(SIGN(F11-G11)=SIGN(AA11-AB11), OR(AND(F11&gt;G11, F11=AA11), AND(G11&gt;F11, G11=AB11))), 18, IF(SIGN(F11-G11)=SIGN(AA11-AB11), 12, IF(OR(F11=AA11, G11=AB11), 5, 0)))))</f>
        <v/>
      </c>
      <c r="AD11" s="16">
        <f>IF(OR(ISBLANK(F11), ISBLANK(AA11)), 0, IF(F11=AA11, 3, 0))</f>
        <v/>
      </c>
      <c r="AE11" s="16">
        <f>IF(OR(ISBLANK(G11), ISBLANK(AB11)), 0, IF(G11=AB11, 3, 0))</f>
        <v/>
      </c>
      <c r="AF11" s="5">
        <f>SUM(AC11:AE11)</f>
        <v/>
      </c>
      <c r="AG11" s="12" t="n"/>
      <c r="AH11" s="12" t="n"/>
      <c r="AI11" s="12">
        <f>IF(OR(ISBLANK(F11), ISBLANK(G11)), 0, IF(AND(F11=AG11, G11=AH11), 25, IF(AND(SIGN(F11-G11)=SIGN(AG11-AH11), OR(AND(F11&gt;G11, F11=AG11), AND(G11&gt;F11, G11=AH11))), 18, IF(SIGN(F11-G11)=SIGN(AG11-AH11), 12, IF(OR(F11=AG11, G11=AH11), 5, 0)))))</f>
        <v/>
      </c>
      <c r="AJ11" s="16">
        <f>IF(OR(ISBLANK(F11), ISBLANK(AG11)), 0, IF(F11=AG11, 3, 0))</f>
        <v/>
      </c>
      <c r="AK11" s="16">
        <f>IF(OR(ISBLANK(G11), ISBLANK(AH11)), 0, IF(G11=AH11, 3, 0))</f>
        <v/>
      </c>
      <c r="AL11" s="5">
        <f>SUM(AI11:AK11)</f>
        <v/>
      </c>
    </row>
    <row r="12">
      <c r="A12" s="12" t="n">
        <v>10</v>
      </c>
      <c r="B12" s="12" t="inlineStr">
        <is>
          <t>11/06/2026</t>
        </is>
      </c>
      <c r="C12" s="12" t="inlineStr">
        <is>
          <t>13:00</t>
        </is>
      </c>
      <c r="D12" s="13" t="inlineStr">
        <is>
          <t>Grupo J</t>
        </is>
      </c>
      <c r="E12" s="14" t="inlineStr">
        <is>
          <t>Brasil</t>
        </is>
      </c>
      <c r="F12" s="15" t="inlineStr"/>
      <c r="G12" s="15" t="inlineStr"/>
      <c r="H12" s="13" t="inlineStr">
        <is>
          <t>Marrocos</t>
        </is>
      </c>
      <c r="I12" s="12" t="n"/>
      <c r="J12" s="12" t="n"/>
      <c r="K12" s="12">
        <f>IF(OR(ISBLANK(F12), ISBLANK(G12)), 0, IF(AND(F12=I12, G12=J12), 25, IF(AND(SIGN(F12-G12)=SIGN(I12-J12), OR(AND(F12&gt;G12, F12=I12), AND(G12&gt;F12, G12=J12))), 18, IF(SIGN(F12-G12)=SIGN(I12-J12), 12, IF(OR(F12=I12, G12=J12), 5, 0)))))</f>
        <v/>
      </c>
      <c r="L12" s="16">
        <f>IF(OR(ISBLANK(F12), ISBLANK(I12)), 0, IF(F12=I12, 3, 0))</f>
        <v/>
      </c>
      <c r="M12" s="16">
        <f>IF(OR(ISBLANK(G12), ISBLANK(J12)), 0, IF(G12=J12, 3, 0))</f>
        <v/>
      </c>
      <c r="N12" s="5">
        <f>SUM(K12:M12)</f>
        <v/>
      </c>
      <c r="O12" s="12" t="n"/>
      <c r="P12" s="12" t="n"/>
      <c r="Q12" s="12">
        <f>IF(OR(ISBLANK(F12), ISBLANK(G12)), 0, IF(AND(F12=O12, G12=P12), 25, IF(AND(SIGN(F12-G12)=SIGN(O12-P12), OR(AND(F12&gt;G12, F12=O12), AND(G12&gt;F12, G12=P12))), 18, IF(SIGN(F12-G12)=SIGN(O12-P12), 12, IF(OR(F12=O12, G12=P12), 5, 0)))))</f>
        <v/>
      </c>
      <c r="R12" s="16">
        <f>IF(OR(ISBLANK(F12), ISBLANK(O12)), 0, IF(F12=O12, 3, 0))</f>
        <v/>
      </c>
      <c r="S12" s="16">
        <f>IF(OR(ISBLANK(G12), ISBLANK(P12)), 0, IF(G12=P12, 3, 0))</f>
        <v/>
      </c>
      <c r="T12" s="5">
        <f>SUM(Q12:S12)</f>
        <v/>
      </c>
      <c r="U12" s="12" t="n"/>
      <c r="V12" s="12" t="n"/>
      <c r="W12" s="12">
        <f>IF(OR(ISBLANK(F12), ISBLANK(G12)), 0, IF(AND(F12=U12, G12=V12), 25, IF(AND(SIGN(F12-G12)=SIGN(U12-V12), OR(AND(F12&gt;G12, F12=U12), AND(G12&gt;F12, G12=V12))), 18, IF(SIGN(F12-G12)=SIGN(U12-V12), 12, IF(OR(F12=U12, G12=V12), 5, 0)))))</f>
        <v/>
      </c>
      <c r="X12" s="16">
        <f>IF(OR(ISBLANK(F12), ISBLANK(U12)), 0, IF(F12=U12, 3, 0))</f>
        <v/>
      </c>
      <c r="Y12" s="16">
        <f>IF(OR(ISBLANK(G12), ISBLANK(V12)), 0, IF(G12=V12, 3, 0))</f>
        <v/>
      </c>
      <c r="Z12" s="5">
        <f>SUM(W12:Y12)</f>
        <v/>
      </c>
      <c r="AA12" s="12" t="n"/>
      <c r="AB12" s="12" t="n"/>
      <c r="AC12" s="12">
        <f>IF(OR(ISBLANK(F12), ISBLANK(G12)), 0, IF(AND(F12=AA12, G12=AB12), 25, IF(AND(SIGN(F12-G12)=SIGN(AA12-AB12), OR(AND(F12&gt;G12, F12=AA12), AND(G12&gt;F12, G12=AB12))), 18, IF(SIGN(F12-G12)=SIGN(AA12-AB12), 12, IF(OR(F12=AA12, G12=AB12), 5, 0)))))</f>
        <v/>
      </c>
      <c r="AD12" s="16">
        <f>IF(OR(ISBLANK(F12), ISBLANK(AA12)), 0, IF(F12=AA12, 3, 0))</f>
        <v/>
      </c>
      <c r="AE12" s="16">
        <f>IF(OR(ISBLANK(G12), ISBLANK(AB12)), 0, IF(G12=AB12, 3, 0))</f>
        <v/>
      </c>
      <c r="AF12" s="5">
        <f>SUM(AC12:AE12)</f>
        <v/>
      </c>
      <c r="AG12" s="12" t="n"/>
      <c r="AH12" s="12" t="n"/>
      <c r="AI12" s="12">
        <f>IF(OR(ISBLANK(F12), ISBLANK(G12)), 0, IF(AND(F12=AG12, G12=AH12), 25, IF(AND(SIGN(F12-G12)=SIGN(AG12-AH12), OR(AND(F12&gt;G12, F12=AG12), AND(G12&gt;F12, G12=AH12))), 18, IF(SIGN(F12-G12)=SIGN(AG12-AH12), 12, IF(OR(F12=AG12, G12=AH12), 5, 0)))))</f>
        <v/>
      </c>
      <c r="AJ12" s="16">
        <f>IF(OR(ISBLANK(F12), ISBLANK(AG12)), 0, IF(F12=AG12, 3, 0))</f>
        <v/>
      </c>
      <c r="AK12" s="16">
        <f>IF(OR(ISBLANK(G12), ISBLANK(AH12)), 0, IF(G12=AH12, 3, 0))</f>
        <v/>
      </c>
      <c r="AL12" s="5">
        <f>SUM(AI12:AK12)</f>
        <v/>
      </c>
    </row>
    <row r="13">
      <c r="A13" s="12" t="n">
        <v>11</v>
      </c>
      <c r="B13" s="12" t="inlineStr">
        <is>
          <t>11/06/2026</t>
        </is>
      </c>
      <c r="C13" s="12" t="inlineStr">
        <is>
          <t>16:00</t>
        </is>
      </c>
      <c r="D13" s="13" t="inlineStr">
        <is>
          <t>Grupo K</t>
        </is>
      </c>
      <c r="E13" s="14" t="inlineStr">
        <is>
          <t>Argentina</t>
        </is>
      </c>
      <c r="F13" s="15" t="inlineStr"/>
      <c r="G13" s="15" t="inlineStr"/>
      <c r="H13" s="13" t="inlineStr">
        <is>
          <t>Itália</t>
        </is>
      </c>
      <c r="I13" s="12" t="n"/>
      <c r="J13" s="12" t="n"/>
      <c r="K13" s="12">
        <f>IF(OR(ISBLANK(F13), ISBLANK(G13)), 0, IF(AND(F13=I13, G13=J13), 25, IF(AND(SIGN(F13-G13)=SIGN(I13-J13), OR(AND(F13&gt;G13, F13=I13), AND(G13&gt;F13, G13=J13))), 18, IF(SIGN(F13-G13)=SIGN(I13-J13), 12, IF(OR(F13=I13, G13=J13), 5, 0)))))</f>
        <v/>
      </c>
      <c r="L13" s="16">
        <f>IF(OR(ISBLANK(F13), ISBLANK(I13)), 0, IF(F13=I13, 3, 0))</f>
        <v/>
      </c>
      <c r="M13" s="16">
        <f>IF(OR(ISBLANK(G13), ISBLANK(J13)), 0, IF(G13=J13, 3, 0))</f>
        <v/>
      </c>
      <c r="N13" s="5">
        <f>SUM(K13:M13)</f>
        <v/>
      </c>
      <c r="O13" s="12" t="n"/>
      <c r="P13" s="12" t="n"/>
      <c r="Q13" s="12">
        <f>IF(OR(ISBLANK(F13), ISBLANK(G13)), 0, IF(AND(F13=O13, G13=P13), 25, IF(AND(SIGN(F13-G13)=SIGN(O13-P13), OR(AND(F13&gt;G13, F13=O13), AND(G13&gt;F13, G13=P13))), 18, IF(SIGN(F13-G13)=SIGN(O13-P13), 12, IF(OR(F13=O13, G13=P13), 5, 0)))))</f>
        <v/>
      </c>
      <c r="R13" s="16">
        <f>IF(OR(ISBLANK(F13), ISBLANK(O13)), 0, IF(F13=O13, 3, 0))</f>
        <v/>
      </c>
      <c r="S13" s="16">
        <f>IF(OR(ISBLANK(G13), ISBLANK(P13)), 0, IF(G13=P13, 3, 0))</f>
        <v/>
      </c>
      <c r="T13" s="5">
        <f>SUM(Q13:S13)</f>
        <v/>
      </c>
      <c r="U13" s="12" t="n"/>
      <c r="V13" s="12" t="n"/>
      <c r="W13" s="12">
        <f>IF(OR(ISBLANK(F13), ISBLANK(G13)), 0, IF(AND(F13=U13, G13=V13), 25, IF(AND(SIGN(F13-G13)=SIGN(U13-V13), OR(AND(F13&gt;G13, F13=U13), AND(G13&gt;F13, G13=V13))), 18, IF(SIGN(F13-G13)=SIGN(U13-V13), 12, IF(OR(F13=U13, G13=V13), 5, 0)))))</f>
        <v/>
      </c>
      <c r="X13" s="16">
        <f>IF(OR(ISBLANK(F13), ISBLANK(U13)), 0, IF(F13=U13, 3, 0))</f>
        <v/>
      </c>
      <c r="Y13" s="16">
        <f>IF(OR(ISBLANK(G13), ISBLANK(V13)), 0, IF(G13=V13, 3, 0))</f>
        <v/>
      </c>
      <c r="Z13" s="5">
        <f>SUM(W13:Y13)</f>
        <v/>
      </c>
      <c r="AA13" s="12" t="n"/>
      <c r="AB13" s="12" t="n"/>
      <c r="AC13" s="12">
        <f>IF(OR(ISBLANK(F13), ISBLANK(G13)), 0, IF(AND(F13=AA13, G13=AB13), 25, IF(AND(SIGN(F13-G13)=SIGN(AA13-AB13), OR(AND(F13&gt;G13, F13=AA13), AND(G13&gt;F13, G13=AB13))), 18, IF(SIGN(F13-G13)=SIGN(AA13-AB13), 12, IF(OR(F13=AA13, G13=AB13), 5, 0)))))</f>
        <v/>
      </c>
      <c r="AD13" s="16">
        <f>IF(OR(ISBLANK(F13), ISBLANK(AA13)), 0, IF(F13=AA13, 3, 0))</f>
        <v/>
      </c>
      <c r="AE13" s="16">
        <f>IF(OR(ISBLANK(G13), ISBLANK(AB13)), 0, IF(G13=AB13, 3, 0))</f>
        <v/>
      </c>
      <c r="AF13" s="5">
        <f>SUM(AC13:AE13)</f>
        <v/>
      </c>
      <c r="AG13" s="12" t="n"/>
      <c r="AH13" s="12" t="n"/>
      <c r="AI13" s="12">
        <f>IF(OR(ISBLANK(F13), ISBLANK(G13)), 0, IF(AND(F13=AG13, G13=AH13), 25, IF(AND(SIGN(F13-G13)=SIGN(AG13-AH13), OR(AND(F13&gt;G13, F13=AG13), AND(G13&gt;F13, G13=AH13))), 18, IF(SIGN(F13-G13)=SIGN(AG13-AH13), 12, IF(OR(F13=AG13, G13=AH13), 5, 0)))))</f>
        <v/>
      </c>
      <c r="AJ13" s="16">
        <f>IF(OR(ISBLANK(F13), ISBLANK(AG13)), 0, IF(F13=AG13, 3, 0))</f>
        <v/>
      </c>
      <c r="AK13" s="16">
        <f>IF(OR(ISBLANK(G13), ISBLANK(AH13)), 0, IF(G13=AH13, 3, 0))</f>
        <v/>
      </c>
      <c r="AL13" s="5">
        <f>SUM(AI13:AK13)</f>
        <v/>
      </c>
    </row>
    <row r="14">
      <c r="A14" s="12" t="n">
        <v>12</v>
      </c>
      <c r="B14" s="12" t="inlineStr">
        <is>
          <t>11/06/2026</t>
        </is>
      </c>
      <c r="C14" s="12" t="inlineStr">
        <is>
          <t>13:00</t>
        </is>
      </c>
      <c r="D14" s="13" t="inlineStr">
        <is>
          <t>Grupo L</t>
        </is>
      </c>
      <c r="E14" s="14" t="inlineStr">
        <is>
          <t>Alemanha</t>
        </is>
      </c>
      <c r="F14" s="15" t="inlineStr"/>
      <c r="G14" s="15" t="inlineStr"/>
      <c r="H14" s="13" t="inlineStr">
        <is>
          <t>Colômbia</t>
        </is>
      </c>
      <c r="I14" s="12" t="n"/>
      <c r="J14" s="12" t="n"/>
      <c r="K14" s="12">
        <f>IF(OR(ISBLANK(F14), ISBLANK(G14)), 0, IF(AND(F14=I14, G14=J14), 25, IF(AND(SIGN(F14-G14)=SIGN(I14-J14), OR(AND(F14&gt;G14, F14=I14), AND(G14&gt;F14, G14=J14))), 18, IF(SIGN(F14-G14)=SIGN(I14-J14), 12, IF(OR(F14=I14, G14=J14), 5, 0)))))</f>
        <v/>
      </c>
      <c r="L14" s="16">
        <f>IF(OR(ISBLANK(F14), ISBLANK(I14)), 0, IF(F14=I14, 3, 0))</f>
        <v/>
      </c>
      <c r="M14" s="16">
        <f>IF(OR(ISBLANK(G14), ISBLANK(J14)), 0, IF(G14=J14, 3, 0))</f>
        <v/>
      </c>
      <c r="N14" s="5">
        <f>SUM(K14:M14)</f>
        <v/>
      </c>
      <c r="O14" s="12" t="n"/>
      <c r="P14" s="12" t="n"/>
      <c r="Q14" s="12">
        <f>IF(OR(ISBLANK(F14), ISBLANK(G14)), 0, IF(AND(F14=O14, G14=P14), 25, IF(AND(SIGN(F14-G14)=SIGN(O14-P14), OR(AND(F14&gt;G14, F14=O14), AND(G14&gt;F14, G14=P14))), 18, IF(SIGN(F14-G14)=SIGN(O14-P14), 12, IF(OR(F14=O14, G14=P14), 5, 0)))))</f>
        <v/>
      </c>
      <c r="R14" s="16">
        <f>IF(OR(ISBLANK(F14), ISBLANK(O14)), 0, IF(F14=O14, 3, 0))</f>
        <v/>
      </c>
      <c r="S14" s="16">
        <f>IF(OR(ISBLANK(G14), ISBLANK(P14)), 0, IF(G14=P14, 3, 0))</f>
        <v/>
      </c>
      <c r="T14" s="5">
        <f>SUM(Q14:S14)</f>
        <v/>
      </c>
      <c r="U14" s="12" t="n"/>
      <c r="V14" s="12" t="n"/>
      <c r="W14" s="12">
        <f>IF(OR(ISBLANK(F14), ISBLANK(G14)), 0, IF(AND(F14=U14, G14=V14), 25, IF(AND(SIGN(F14-G14)=SIGN(U14-V14), OR(AND(F14&gt;G14, F14=U14), AND(G14&gt;F14, G14=V14))), 18, IF(SIGN(F14-G14)=SIGN(U14-V14), 12, IF(OR(F14=U14, G14=V14), 5, 0)))))</f>
        <v/>
      </c>
      <c r="X14" s="16">
        <f>IF(OR(ISBLANK(F14), ISBLANK(U14)), 0, IF(F14=U14, 3, 0))</f>
        <v/>
      </c>
      <c r="Y14" s="16">
        <f>IF(OR(ISBLANK(G14), ISBLANK(V14)), 0, IF(G14=V14, 3, 0))</f>
        <v/>
      </c>
      <c r="Z14" s="5">
        <f>SUM(W14:Y14)</f>
        <v/>
      </c>
      <c r="AA14" s="12" t="n"/>
      <c r="AB14" s="12" t="n"/>
      <c r="AC14" s="12">
        <f>IF(OR(ISBLANK(F14), ISBLANK(G14)), 0, IF(AND(F14=AA14, G14=AB14), 25, IF(AND(SIGN(F14-G14)=SIGN(AA14-AB14), OR(AND(F14&gt;G14, F14=AA14), AND(G14&gt;F14, G14=AB14))), 18, IF(SIGN(F14-G14)=SIGN(AA14-AB14), 12, IF(OR(F14=AA14, G14=AB14), 5, 0)))))</f>
        <v/>
      </c>
      <c r="AD14" s="16">
        <f>IF(OR(ISBLANK(F14), ISBLANK(AA14)), 0, IF(F14=AA14, 3, 0))</f>
        <v/>
      </c>
      <c r="AE14" s="16">
        <f>IF(OR(ISBLANK(G14), ISBLANK(AB14)), 0, IF(G14=AB14, 3, 0))</f>
        <v/>
      </c>
      <c r="AF14" s="5">
        <f>SUM(AC14:AE14)</f>
        <v/>
      </c>
      <c r="AG14" s="12" t="n"/>
      <c r="AH14" s="12" t="n"/>
      <c r="AI14" s="12">
        <f>IF(OR(ISBLANK(F14), ISBLANK(G14)), 0, IF(AND(F14=AG14, G14=AH14), 25, IF(AND(SIGN(F14-G14)=SIGN(AG14-AH14), OR(AND(F14&gt;G14, F14=AG14), AND(G14&gt;F14, G14=AH14))), 18, IF(SIGN(F14-G14)=SIGN(AG14-AH14), 12, IF(OR(F14=AG14, G14=AH14), 5, 0)))))</f>
        <v/>
      </c>
      <c r="AJ14" s="16">
        <f>IF(OR(ISBLANK(F14), ISBLANK(AG14)), 0, IF(F14=AG14, 3, 0))</f>
        <v/>
      </c>
      <c r="AK14" s="16">
        <f>IF(OR(ISBLANK(G14), ISBLANK(AH14)), 0, IF(G14=AH14, 3, 0))</f>
        <v/>
      </c>
      <c r="AL14" s="5">
        <f>SUM(AI14:AK14)</f>
        <v/>
      </c>
    </row>
    <row r="15">
      <c r="A15" s="12" t="n">
        <v>13</v>
      </c>
      <c r="B15" s="12" t="inlineStr">
        <is>
          <t>12/06/2026</t>
        </is>
      </c>
      <c r="C15" s="12" t="inlineStr">
        <is>
          <t>16:00</t>
        </is>
      </c>
      <c r="D15" s="13" t="inlineStr">
        <is>
          <t>Grupo A</t>
        </is>
      </c>
      <c r="E15" s="14" t="inlineStr">
        <is>
          <t>Costa Rica</t>
        </is>
      </c>
      <c r="F15" s="15" t="inlineStr"/>
      <c r="G15" s="15" t="inlineStr"/>
      <c r="H15" s="13" t="inlineStr">
        <is>
          <t>México</t>
        </is>
      </c>
      <c r="I15" s="12" t="n"/>
      <c r="J15" s="12" t="n"/>
      <c r="K15" s="12">
        <f>IF(OR(ISBLANK(F15), ISBLANK(G15)), 0, IF(AND(F15=I15, G15=J15), 25, IF(AND(SIGN(F15-G15)=SIGN(I15-J15), OR(AND(F15&gt;G15, F15=I15), AND(G15&gt;F15, G15=J15))), 18, IF(SIGN(F15-G15)=SIGN(I15-J15), 12, IF(OR(F15=I15, G15=J15), 5, 0)))))</f>
        <v/>
      </c>
      <c r="L15" s="16">
        <f>IF(OR(ISBLANK(F15), ISBLANK(I15)), 0, IF(F15=I15, 3, 0))</f>
        <v/>
      </c>
      <c r="M15" s="16">
        <f>IF(OR(ISBLANK(G15), ISBLANK(J15)), 0, IF(G15=J15, 3, 0))</f>
        <v/>
      </c>
      <c r="N15" s="5">
        <f>SUM(K15:M15)</f>
        <v/>
      </c>
      <c r="O15" s="12" t="n"/>
      <c r="P15" s="12" t="n"/>
      <c r="Q15" s="12">
        <f>IF(OR(ISBLANK(F15), ISBLANK(G15)), 0, IF(AND(F15=O15, G15=P15), 25, IF(AND(SIGN(F15-G15)=SIGN(O15-P15), OR(AND(F15&gt;G15, F15=O15), AND(G15&gt;F15, G15=P15))), 18, IF(SIGN(F15-G15)=SIGN(O15-P15), 12, IF(OR(F15=O15, G15=P15), 5, 0)))))</f>
        <v/>
      </c>
      <c r="R15" s="16">
        <f>IF(OR(ISBLANK(F15), ISBLANK(O15)), 0, IF(F15=O15, 3, 0))</f>
        <v/>
      </c>
      <c r="S15" s="16">
        <f>IF(OR(ISBLANK(G15), ISBLANK(P15)), 0, IF(G15=P15, 3, 0))</f>
        <v/>
      </c>
      <c r="T15" s="5">
        <f>SUM(Q15:S15)</f>
        <v/>
      </c>
      <c r="U15" s="12" t="n"/>
      <c r="V15" s="12" t="n"/>
      <c r="W15" s="12">
        <f>IF(OR(ISBLANK(F15), ISBLANK(G15)), 0, IF(AND(F15=U15, G15=V15), 25, IF(AND(SIGN(F15-G15)=SIGN(U15-V15), OR(AND(F15&gt;G15, F15=U15), AND(G15&gt;F15, G15=V15))), 18, IF(SIGN(F15-G15)=SIGN(U15-V15), 12, IF(OR(F15=U15, G15=V15), 5, 0)))))</f>
        <v/>
      </c>
      <c r="X15" s="16">
        <f>IF(OR(ISBLANK(F15), ISBLANK(U15)), 0, IF(F15=U15, 3, 0))</f>
        <v/>
      </c>
      <c r="Y15" s="16">
        <f>IF(OR(ISBLANK(G15), ISBLANK(V15)), 0, IF(G15=V15, 3, 0))</f>
        <v/>
      </c>
      <c r="Z15" s="5">
        <f>SUM(W15:Y15)</f>
        <v/>
      </c>
      <c r="AA15" s="12" t="n"/>
      <c r="AB15" s="12" t="n"/>
      <c r="AC15" s="12">
        <f>IF(OR(ISBLANK(F15), ISBLANK(G15)), 0, IF(AND(F15=AA15, G15=AB15), 25, IF(AND(SIGN(F15-G15)=SIGN(AA15-AB15), OR(AND(F15&gt;G15, F15=AA15), AND(G15&gt;F15, G15=AB15))), 18, IF(SIGN(F15-G15)=SIGN(AA15-AB15), 12, IF(OR(F15=AA15, G15=AB15), 5, 0)))))</f>
        <v/>
      </c>
      <c r="AD15" s="16">
        <f>IF(OR(ISBLANK(F15), ISBLANK(AA15)), 0, IF(F15=AA15, 3, 0))</f>
        <v/>
      </c>
      <c r="AE15" s="16">
        <f>IF(OR(ISBLANK(G15), ISBLANK(AB15)), 0, IF(G15=AB15, 3, 0))</f>
        <v/>
      </c>
      <c r="AF15" s="5">
        <f>SUM(AC15:AE15)</f>
        <v/>
      </c>
      <c r="AG15" s="12" t="n"/>
      <c r="AH15" s="12" t="n"/>
      <c r="AI15" s="12">
        <f>IF(OR(ISBLANK(F15), ISBLANK(G15)), 0, IF(AND(F15=AG15, G15=AH15), 25, IF(AND(SIGN(F15-G15)=SIGN(AG15-AH15), OR(AND(F15&gt;G15, F15=AG15), AND(G15&gt;F15, G15=AH15))), 18, IF(SIGN(F15-G15)=SIGN(AG15-AH15), 12, IF(OR(F15=AG15, G15=AH15), 5, 0)))))</f>
        <v/>
      </c>
      <c r="AJ15" s="16">
        <f>IF(OR(ISBLANK(F15), ISBLANK(AG15)), 0, IF(F15=AG15, 3, 0))</f>
        <v/>
      </c>
      <c r="AK15" s="16">
        <f>IF(OR(ISBLANK(G15), ISBLANK(AH15)), 0, IF(G15=AH15, 3, 0))</f>
        <v/>
      </c>
      <c r="AL15" s="5">
        <f>SUM(AI15:AK15)</f>
        <v/>
      </c>
    </row>
    <row r="16">
      <c r="A16" s="12" t="n">
        <v>14</v>
      </c>
      <c r="B16" s="12" t="inlineStr">
        <is>
          <t>12/06/2026</t>
        </is>
      </c>
      <c r="C16" s="12" t="inlineStr">
        <is>
          <t>13:00</t>
        </is>
      </c>
      <c r="D16" s="13" t="inlineStr">
        <is>
          <t>Grupo B</t>
        </is>
      </c>
      <c r="E16" s="14" t="inlineStr">
        <is>
          <t>Marrocos</t>
        </is>
      </c>
      <c r="F16" s="15" t="inlineStr"/>
      <c r="G16" s="15" t="inlineStr"/>
      <c r="H16" s="13" t="inlineStr">
        <is>
          <t>Brasil</t>
        </is>
      </c>
      <c r="I16" s="12" t="n"/>
      <c r="J16" s="12" t="n"/>
      <c r="K16" s="12">
        <f>IF(OR(ISBLANK(F16), ISBLANK(G16)), 0, IF(AND(F16=I16, G16=J16), 25, IF(AND(SIGN(F16-G16)=SIGN(I16-J16), OR(AND(F16&gt;G16, F16=I16), AND(G16&gt;F16, G16=J16))), 18, IF(SIGN(F16-G16)=SIGN(I16-J16), 12, IF(OR(F16=I16, G16=J16), 5, 0)))))</f>
        <v/>
      </c>
      <c r="L16" s="16">
        <f>IF(OR(ISBLANK(F16), ISBLANK(I16)), 0, IF(F16=I16, 3, 0))</f>
        <v/>
      </c>
      <c r="M16" s="16">
        <f>IF(OR(ISBLANK(G16), ISBLANK(J16)), 0, IF(G16=J16, 3, 0))</f>
        <v/>
      </c>
      <c r="N16" s="5">
        <f>SUM(K16:M16)</f>
        <v/>
      </c>
      <c r="O16" s="12" t="n"/>
      <c r="P16" s="12" t="n"/>
      <c r="Q16" s="12">
        <f>IF(OR(ISBLANK(F16), ISBLANK(G16)), 0, IF(AND(F16=O16, G16=P16), 25, IF(AND(SIGN(F16-G16)=SIGN(O16-P16), OR(AND(F16&gt;G16, F16=O16), AND(G16&gt;F16, G16=P16))), 18, IF(SIGN(F16-G16)=SIGN(O16-P16), 12, IF(OR(F16=O16, G16=P16), 5, 0)))))</f>
        <v/>
      </c>
      <c r="R16" s="16">
        <f>IF(OR(ISBLANK(F16), ISBLANK(O16)), 0, IF(F16=O16, 3, 0))</f>
        <v/>
      </c>
      <c r="S16" s="16">
        <f>IF(OR(ISBLANK(G16), ISBLANK(P16)), 0, IF(G16=P16, 3, 0))</f>
        <v/>
      </c>
      <c r="T16" s="5">
        <f>SUM(Q16:S16)</f>
        <v/>
      </c>
      <c r="U16" s="12" t="n"/>
      <c r="V16" s="12" t="n"/>
      <c r="W16" s="12">
        <f>IF(OR(ISBLANK(F16), ISBLANK(G16)), 0, IF(AND(F16=U16, G16=V16), 25, IF(AND(SIGN(F16-G16)=SIGN(U16-V16), OR(AND(F16&gt;G16, F16=U16), AND(G16&gt;F16, G16=V16))), 18, IF(SIGN(F16-G16)=SIGN(U16-V16), 12, IF(OR(F16=U16, G16=V16), 5, 0)))))</f>
        <v/>
      </c>
      <c r="X16" s="16">
        <f>IF(OR(ISBLANK(F16), ISBLANK(U16)), 0, IF(F16=U16, 3, 0))</f>
        <v/>
      </c>
      <c r="Y16" s="16">
        <f>IF(OR(ISBLANK(G16), ISBLANK(V16)), 0, IF(G16=V16, 3, 0))</f>
        <v/>
      </c>
      <c r="Z16" s="5">
        <f>SUM(W16:Y16)</f>
        <v/>
      </c>
      <c r="AA16" s="12" t="n"/>
      <c r="AB16" s="12" t="n"/>
      <c r="AC16" s="12">
        <f>IF(OR(ISBLANK(F16), ISBLANK(G16)), 0, IF(AND(F16=AA16, G16=AB16), 25, IF(AND(SIGN(F16-G16)=SIGN(AA16-AB16), OR(AND(F16&gt;G16, F16=AA16), AND(G16&gt;F16, G16=AB16))), 18, IF(SIGN(F16-G16)=SIGN(AA16-AB16), 12, IF(OR(F16=AA16, G16=AB16), 5, 0)))))</f>
        <v/>
      </c>
      <c r="AD16" s="16">
        <f>IF(OR(ISBLANK(F16), ISBLANK(AA16)), 0, IF(F16=AA16, 3, 0))</f>
        <v/>
      </c>
      <c r="AE16" s="16">
        <f>IF(OR(ISBLANK(G16), ISBLANK(AB16)), 0, IF(G16=AB16, 3, 0))</f>
        <v/>
      </c>
      <c r="AF16" s="5">
        <f>SUM(AC16:AE16)</f>
        <v/>
      </c>
      <c r="AG16" s="12" t="n"/>
      <c r="AH16" s="12" t="n"/>
      <c r="AI16" s="12">
        <f>IF(OR(ISBLANK(F16), ISBLANK(G16)), 0, IF(AND(F16=AG16, G16=AH16), 25, IF(AND(SIGN(F16-G16)=SIGN(AG16-AH16), OR(AND(F16&gt;G16, F16=AG16), AND(G16&gt;F16, G16=AH16))), 18, IF(SIGN(F16-G16)=SIGN(AG16-AH16), 12, IF(OR(F16=AG16, G16=AH16), 5, 0)))))</f>
        <v/>
      </c>
      <c r="AJ16" s="16">
        <f>IF(OR(ISBLANK(F16), ISBLANK(AG16)), 0, IF(F16=AG16, 3, 0))</f>
        <v/>
      </c>
      <c r="AK16" s="16">
        <f>IF(OR(ISBLANK(G16), ISBLANK(AH16)), 0, IF(G16=AH16, 3, 0))</f>
        <v/>
      </c>
      <c r="AL16" s="5">
        <f>SUM(AI16:AK16)</f>
        <v/>
      </c>
    </row>
    <row r="17">
      <c r="A17" s="12" t="n">
        <v>15</v>
      </c>
      <c r="B17" s="12" t="inlineStr">
        <is>
          <t>12/06/2026</t>
        </is>
      </c>
      <c r="C17" s="12" t="inlineStr">
        <is>
          <t>16:00</t>
        </is>
      </c>
      <c r="D17" s="13" t="inlineStr">
        <is>
          <t>Grupo C</t>
        </is>
      </c>
      <c r="E17" s="14" t="inlineStr">
        <is>
          <t>Itália</t>
        </is>
      </c>
      <c r="F17" s="15" t="inlineStr"/>
      <c r="G17" s="15" t="inlineStr"/>
      <c r="H17" s="13" t="inlineStr">
        <is>
          <t>Argentina</t>
        </is>
      </c>
      <c r="I17" s="12" t="n"/>
      <c r="J17" s="12" t="n"/>
      <c r="K17" s="12">
        <f>IF(OR(ISBLANK(F17), ISBLANK(G17)), 0, IF(AND(F17=I17, G17=J17), 25, IF(AND(SIGN(F17-G17)=SIGN(I17-J17), OR(AND(F17&gt;G17, F17=I17), AND(G17&gt;F17, G17=J17))), 18, IF(SIGN(F17-G17)=SIGN(I17-J17), 12, IF(OR(F17=I17, G17=J17), 5, 0)))))</f>
        <v/>
      </c>
      <c r="L17" s="16">
        <f>IF(OR(ISBLANK(F17), ISBLANK(I17)), 0, IF(F17=I17, 3, 0))</f>
        <v/>
      </c>
      <c r="M17" s="16">
        <f>IF(OR(ISBLANK(G17), ISBLANK(J17)), 0, IF(G17=J17, 3, 0))</f>
        <v/>
      </c>
      <c r="N17" s="5">
        <f>SUM(K17:M17)</f>
        <v/>
      </c>
      <c r="O17" s="12" t="n"/>
      <c r="P17" s="12" t="n"/>
      <c r="Q17" s="12">
        <f>IF(OR(ISBLANK(F17), ISBLANK(G17)), 0, IF(AND(F17=O17, G17=P17), 25, IF(AND(SIGN(F17-G17)=SIGN(O17-P17), OR(AND(F17&gt;G17, F17=O17), AND(G17&gt;F17, G17=P17))), 18, IF(SIGN(F17-G17)=SIGN(O17-P17), 12, IF(OR(F17=O17, G17=P17), 5, 0)))))</f>
        <v/>
      </c>
      <c r="R17" s="16">
        <f>IF(OR(ISBLANK(F17), ISBLANK(O17)), 0, IF(F17=O17, 3, 0))</f>
        <v/>
      </c>
      <c r="S17" s="16">
        <f>IF(OR(ISBLANK(G17), ISBLANK(P17)), 0, IF(G17=P17, 3, 0))</f>
        <v/>
      </c>
      <c r="T17" s="5">
        <f>SUM(Q17:S17)</f>
        <v/>
      </c>
      <c r="U17" s="12" t="n"/>
      <c r="V17" s="12" t="n"/>
      <c r="W17" s="12">
        <f>IF(OR(ISBLANK(F17), ISBLANK(G17)), 0, IF(AND(F17=U17, G17=V17), 25, IF(AND(SIGN(F17-G17)=SIGN(U17-V17), OR(AND(F17&gt;G17, F17=U17), AND(G17&gt;F17, G17=V17))), 18, IF(SIGN(F17-G17)=SIGN(U17-V17), 12, IF(OR(F17=U17, G17=V17), 5, 0)))))</f>
        <v/>
      </c>
      <c r="X17" s="16">
        <f>IF(OR(ISBLANK(F17), ISBLANK(U17)), 0, IF(F17=U17, 3, 0))</f>
        <v/>
      </c>
      <c r="Y17" s="16">
        <f>IF(OR(ISBLANK(G17), ISBLANK(V17)), 0, IF(G17=V17, 3, 0))</f>
        <v/>
      </c>
      <c r="Z17" s="5">
        <f>SUM(W17:Y17)</f>
        <v/>
      </c>
      <c r="AA17" s="12" t="n"/>
      <c r="AB17" s="12" t="n"/>
      <c r="AC17" s="12">
        <f>IF(OR(ISBLANK(F17), ISBLANK(G17)), 0, IF(AND(F17=AA17, G17=AB17), 25, IF(AND(SIGN(F17-G17)=SIGN(AA17-AB17), OR(AND(F17&gt;G17, F17=AA17), AND(G17&gt;F17, G17=AB17))), 18, IF(SIGN(F17-G17)=SIGN(AA17-AB17), 12, IF(OR(F17=AA17, G17=AB17), 5, 0)))))</f>
        <v/>
      </c>
      <c r="AD17" s="16">
        <f>IF(OR(ISBLANK(F17), ISBLANK(AA17)), 0, IF(F17=AA17, 3, 0))</f>
        <v/>
      </c>
      <c r="AE17" s="16">
        <f>IF(OR(ISBLANK(G17), ISBLANK(AB17)), 0, IF(G17=AB17, 3, 0))</f>
        <v/>
      </c>
      <c r="AF17" s="5">
        <f>SUM(AC17:AE17)</f>
        <v/>
      </c>
      <c r="AG17" s="12" t="n"/>
      <c r="AH17" s="12" t="n"/>
      <c r="AI17" s="12">
        <f>IF(OR(ISBLANK(F17), ISBLANK(G17)), 0, IF(AND(F17=AG17, G17=AH17), 25, IF(AND(SIGN(F17-G17)=SIGN(AG17-AH17), OR(AND(F17&gt;G17, F17=AG17), AND(G17&gt;F17, G17=AH17))), 18, IF(SIGN(F17-G17)=SIGN(AG17-AH17), 12, IF(OR(F17=AG17, G17=AH17), 5, 0)))))</f>
        <v/>
      </c>
      <c r="AJ17" s="16">
        <f>IF(OR(ISBLANK(F17), ISBLANK(AG17)), 0, IF(F17=AG17, 3, 0))</f>
        <v/>
      </c>
      <c r="AK17" s="16">
        <f>IF(OR(ISBLANK(G17), ISBLANK(AH17)), 0, IF(G17=AH17, 3, 0))</f>
        <v/>
      </c>
      <c r="AL17" s="5">
        <f>SUM(AI17:AK17)</f>
        <v/>
      </c>
    </row>
    <row r="18">
      <c r="A18" s="12" t="n">
        <v>16</v>
      </c>
      <c r="B18" s="12" t="inlineStr">
        <is>
          <t>12/06/2026</t>
        </is>
      </c>
      <c r="C18" s="12" t="inlineStr">
        <is>
          <t>13:00</t>
        </is>
      </c>
      <c r="D18" s="13" t="inlineStr">
        <is>
          <t>Grupo D</t>
        </is>
      </c>
      <c r="E18" s="14" t="inlineStr">
        <is>
          <t>Colômbia</t>
        </is>
      </c>
      <c r="F18" s="15" t="inlineStr"/>
      <c r="G18" s="15" t="inlineStr"/>
      <c r="H18" s="13" t="inlineStr">
        <is>
          <t>Alemanha</t>
        </is>
      </c>
      <c r="I18" s="12" t="n"/>
      <c r="J18" s="12" t="n"/>
      <c r="K18" s="12">
        <f>IF(OR(ISBLANK(F18), ISBLANK(G18)), 0, IF(AND(F18=I18, G18=J18), 25, IF(AND(SIGN(F18-G18)=SIGN(I18-J18), OR(AND(F18&gt;G18, F18=I18), AND(G18&gt;F18, G18=J18))), 18, IF(SIGN(F18-G18)=SIGN(I18-J18), 12, IF(OR(F18=I18, G18=J18), 5, 0)))))</f>
        <v/>
      </c>
      <c r="L18" s="16">
        <f>IF(OR(ISBLANK(F18), ISBLANK(I18)), 0, IF(F18=I18, 3, 0))</f>
        <v/>
      </c>
      <c r="M18" s="16">
        <f>IF(OR(ISBLANK(G18), ISBLANK(J18)), 0, IF(G18=J18, 3, 0))</f>
        <v/>
      </c>
      <c r="N18" s="5">
        <f>SUM(K18:M18)</f>
        <v/>
      </c>
      <c r="O18" s="12" t="n"/>
      <c r="P18" s="12" t="n"/>
      <c r="Q18" s="12">
        <f>IF(OR(ISBLANK(F18), ISBLANK(G18)), 0, IF(AND(F18=O18, G18=P18), 25, IF(AND(SIGN(F18-G18)=SIGN(O18-P18), OR(AND(F18&gt;G18, F18=O18), AND(G18&gt;F18, G18=P18))), 18, IF(SIGN(F18-G18)=SIGN(O18-P18), 12, IF(OR(F18=O18, G18=P18), 5, 0)))))</f>
        <v/>
      </c>
      <c r="R18" s="16">
        <f>IF(OR(ISBLANK(F18), ISBLANK(O18)), 0, IF(F18=O18, 3, 0))</f>
        <v/>
      </c>
      <c r="S18" s="16">
        <f>IF(OR(ISBLANK(G18), ISBLANK(P18)), 0, IF(G18=P18, 3, 0))</f>
        <v/>
      </c>
      <c r="T18" s="5">
        <f>SUM(Q18:S18)</f>
        <v/>
      </c>
      <c r="U18" s="12" t="n"/>
      <c r="V18" s="12" t="n"/>
      <c r="W18" s="12">
        <f>IF(OR(ISBLANK(F18), ISBLANK(G18)), 0, IF(AND(F18=U18, G18=V18), 25, IF(AND(SIGN(F18-G18)=SIGN(U18-V18), OR(AND(F18&gt;G18, F18=U18), AND(G18&gt;F18, G18=V18))), 18, IF(SIGN(F18-G18)=SIGN(U18-V18), 12, IF(OR(F18=U18, G18=V18), 5, 0)))))</f>
        <v/>
      </c>
      <c r="X18" s="16">
        <f>IF(OR(ISBLANK(F18), ISBLANK(U18)), 0, IF(F18=U18, 3, 0))</f>
        <v/>
      </c>
      <c r="Y18" s="16">
        <f>IF(OR(ISBLANK(G18), ISBLANK(V18)), 0, IF(G18=V18, 3, 0))</f>
        <v/>
      </c>
      <c r="Z18" s="5">
        <f>SUM(W18:Y18)</f>
        <v/>
      </c>
      <c r="AA18" s="12" t="n"/>
      <c r="AB18" s="12" t="n"/>
      <c r="AC18" s="12">
        <f>IF(OR(ISBLANK(F18), ISBLANK(G18)), 0, IF(AND(F18=AA18, G18=AB18), 25, IF(AND(SIGN(F18-G18)=SIGN(AA18-AB18), OR(AND(F18&gt;G18, F18=AA18), AND(G18&gt;F18, G18=AB18))), 18, IF(SIGN(F18-G18)=SIGN(AA18-AB18), 12, IF(OR(F18=AA18, G18=AB18), 5, 0)))))</f>
        <v/>
      </c>
      <c r="AD18" s="16">
        <f>IF(OR(ISBLANK(F18), ISBLANK(AA18)), 0, IF(F18=AA18, 3, 0))</f>
        <v/>
      </c>
      <c r="AE18" s="16">
        <f>IF(OR(ISBLANK(G18), ISBLANK(AB18)), 0, IF(G18=AB18, 3, 0))</f>
        <v/>
      </c>
      <c r="AF18" s="5">
        <f>SUM(AC18:AE18)</f>
        <v/>
      </c>
      <c r="AG18" s="12" t="n"/>
      <c r="AH18" s="12" t="n"/>
      <c r="AI18" s="12">
        <f>IF(OR(ISBLANK(F18), ISBLANK(G18)), 0, IF(AND(F18=AG18, G18=AH18), 25, IF(AND(SIGN(F18-G18)=SIGN(AG18-AH18), OR(AND(F18&gt;G18, F18=AG18), AND(G18&gt;F18, G18=AH18))), 18, IF(SIGN(F18-G18)=SIGN(AG18-AH18), 12, IF(OR(F18=AG18, G18=AH18), 5, 0)))))</f>
        <v/>
      </c>
      <c r="AJ18" s="16">
        <f>IF(OR(ISBLANK(F18), ISBLANK(AG18)), 0, IF(F18=AG18, 3, 0))</f>
        <v/>
      </c>
      <c r="AK18" s="16">
        <f>IF(OR(ISBLANK(G18), ISBLANK(AH18)), 0, IF(G18=AH18, 3, 0))</f>
        <v/>
      </c>
      <c r="AL18" s="5">
        <f>SUM(AI18:AK18)</f>
        <v/>
      </c>
    </row>
    <row r="19">
      <c r="A19" s="12" t="n">
        <v>17</v>
      </c>
      <c r="B19" s="12" t="inlineStr">
        <is>
          <t>12/06/2026</t>
        </is>
      </c>
      <c r="C19" s="12" t="inlineStr">
        <is>
          <t>16:00</t>
        </is>
      </c>
      <c r="D19" s="13" t="inlineStr">
        <is>
          <t>Grupo E</t>
        </is>
      </c>
      <c r="E19" s="14" t="inlineStr">
        <is>
          <t>Camarões</t>
        </is>
      </c>
      <c r="F19" s="15" t="inlineStr"/>
      <c r="G19" s="15" t="inlineStr"/>
      <c r="H19" s="13" t="inlineStr">
        <is>
          <t>Uruguai</t>
        </is>
      </c>
      <c r="I19" s="12" t="n"/>
      <c r="J19" s="12" t="n"/>
      <c r="K19" s="12">
        <f>IF(OR(ISBLANK(F19), ISBLANK(G19)), 0, IF(AND(F19=I19, G19=J19), 25, IF(AND(SIGN(F19-G19)=SIGN(I19-J19), OR(AND(F19&gt;G19, F19=I19), AND(G19&gt;F19, G19=J19))), 18, IF(SIGN(F19-G19)=SIGN(I19-J19), 12, IF(OR(F19=I19, G19=J19), 5, 0)))))</f>
        <v/>
      </c>
      <c r="L19" s="16">
        <f>IF(OR(ISBLANK(F19), ISBLANK(I19)), 0, IF(F19=I19, 3, 0))</f>
        <v/>
      </c>
      <c r="M19" s="16">
        <f>IF(OR(ISBLANK(G19), ISBLANK(J19)), 0, IF(G19=J19, 3, 0))</f>
        <v/>
      </c>
      <c r="N19" s="5">
        <f>SUM(K19:M19)</f>
        <v/>
      </c>
      <c r="O19" s="12" t="n"/>
      <c r="P19" s="12" t="n"/>
      <c r="Q19" s="12">
        <f>IF(OR(ISBLANK(F19), ISBLANK(G19)), 0, IF(AND(F19=O19, G19=P19), 25, IF(AND(SIGN(F19-G19)=SIGN(O19-P19), OR(AND(F19&gt;G19, F19=O19), AND(G19&gt;F19, G19=P19))), 18, IF(SIGN(F19-G19)=SIGN(O19-P19), 12, IF(OR(F19=O19, G19=P19), 5, 0)))))</f>
        <v/>
      </c>
      <c r="R19" s="16">
        <f>IF(OR(ISBLANK(F19), ISBLANK(O19)), 0, IF(F19=O19, 3, 0))</f>
        <v/>
      </c>
      <c r="S19" s="16">
        <f>IF(OR(ISBLANK(G19), ISBLANK(P19)), 0, IF(G19=P19, 3, 0))</f>
        <v/>
      </c>
      <c r="T19" s="5">
        <f>SUM(Q19:S19)</f>
        <v/>
      </c>
      <c r="U19" s="12" t="n"/>
      <c r="V19" s="12" t="n"/>
      <c r="W19" s="12">
        <f>IF(OR(ISBLANK(F19), ISBLANK(G19)), 0, IF(AND(F19=U19, G19=V19), 25, IF(AND(SIGN(F19-G19)=SIGN(U19-V19), OR(AND(F19&gt;G19, F19=U19), AND(G19&gt;F19, G19=V19))), 18, IF(SIGN(F19-G19)=SIGN(U19-V19), 12, IF(OR(F19=U19, G19=V19), 5, 0)))))</f>
        <v/>
      </c>
      <c r="X19" s="16">
        <f>IF(OR(ISBLANK(F19), ISBLANK(U19)), 0, IF(F19=U19, 3, 0))</f>
        <v/>
      </c>
      <c r="Y19" s="16">
        <f>IF(OR(ISBLANK(G19), ISBLANK(V19)), 0, IF(G19=V19, 3, 0))</f>
        <v/>
      </c>
      <c r="Z19" s="5">
        <f>SUM(W19:Y19)</f>
        <v/>
      </c>
      <c r="AA19" s="12" t="n"/>
      <c r="AB19" s="12" t="n"/>
      <c r="AC19" s="12">
        <f>IF(OR(ISBLANK(F19), ISBLANK(G19)), 0, IF(AND(F19=AA19, G19=AB19), 25, IF(AND(SIGN(F19-G19)=SIGN(AA19-AB19), OR(AND(F19&gt;G19, F19=AA19), AND(G19&gt;F19, G19=AB19))), 18, IF(SIGN(F19-G19)=SIGN(AA19-AB19), 12, IF(OR(F19=AA19, G19=AB19), 5, 0)))))</f>
        <v/>
      </c>
      <c r="AD19" s="16">
        <f>IF(OR(ISBLANK(F19), ISBLANK(AA19)), 0, IF(F19=AA19, 3, 0))</f>
        <v/>
      </c>
      <c r="AE19" s="16">
        <f>IF(OR(ISBLANK(G19), ISBLANK(AB19)), 0, IF(G19=AB19, 3, 0))</f>
        <v/>
      </c>
      <c r="AF19" s="5">
        <f>SUM(AC19:AE19)</f>
        <v/>
      </c>
      <c r="AG19" s="12" t="n"/>
      <c r="AH19" s="12" t="n"/>
      <c r="AI19" s="12">
        <f>IF(OR(ISBLANK(F19), ISBLANK(G19)), 0, IF(AND(F19=AG19, G19=AH19), 25, IF(AND(SIGN(F19-G19)=SIGN(AG19-AH19), OR(AND(F19&gt;G19, F19=AG19), AND(G19&gt;F19, G19=AH19))), 18, IF(SIGN(F19-G19)=SIGN(AG19-AH19), 12, IF(OR(F19=AG19, G19=AH19), 5, 0)))))</f>
        <v/>
      </c>
      <c r="AJ19" s="16">
        <f>IF(OR(ISBLANK(F19), ISBLANK(AG19)), 0, IF(F19=AG19, 3, 0))</f>
        <v/>
      </c>
      <c r="AK19" s="16">
        <f>IF(OR(ISBLANK(G19), ISBLANK(AH19)), 0, IF(G19=AH19, 3, 0))</f>
        <v/>
      </c>
      <c r="AL19" s="5">
        <f>SUM(AI19:AK19)</f>
        <v/>
      </c>
    </row>
    <row r="20">
      <c r="A20" s="12" t="n">
        <v>18</v>
      </c>
      <c r="B20" s="12" t="inlineStr">
        <is>
          <t>12/06/2026</t>
        </is>
      </c>
      <c r="C20" s="12" t="inlineStr">
        <is>
          <t>13:00</t>
        </is>
      </c>
      <c r="D20" s="13" t="inlineStr">
        <is>
          <t>Grupo F</t>
        </is>
      </c>
      <c r="E20" s="14" t="inlineStr">
        <is>
          <t>Tunísia</t>
        </is>
      </c>
      <c r="F20" s="15" t="inlineStr"/>
      <c r="G20" s="15" t="inlineStr"/>
      <c r="H20" s="13" t="inlineStr">
        <is>
          <t>Holanda</t>
        </is>
      </c>
      <c r="I20" s="12" t="n"/>
      <c r="J20" s="12" t="n"/>
      <c r="K20" s="12">
        <f>IF(OR(ISBLANK(F20), ISBLANK(G20)), 0, IF(AND(F20=I20, G20=J20), 25, IF(AND(SIGN(F20-G20)=SIGN(I20-J20), OR(AND(F20&gt;G20, F20=I20), AND(G20&gt;F20, G20=J20))), 18, IF(SIGN(F20-G20)=SIGN(I20-J20), 12, IF(OR(F20=I20, G20=J20), 5, 0)))))</f>
        <v/>
      </c>
      <c r="L20" s="16">
        <f>IF(OR(ISBLANK(F20), ISBLANK(I20)), 0, IF(F20=I20, 3, 0))</f>
        <v/>
      </c>
      <c r="M20" s="16">
        <f>IF(OR(ISBLANK(G20), ISBLANK(J20)), 0, IF(G20=J20, 3, 0))</f>
        <v/>
      </c>
      <c r="N20" s="5">
        <f>SUM(K20:M20)</f>
        <v/>
      </c>
      <c r="O20" s="12" t="n"/>
      <c r="P20" s="12" t="n"/>
      <c r="Q20" s="12">
        <f>IF(OR(ISBLANK(F20), ISBLANK(G20)), 0, IF(AND(F20=O20, G20=P20), 25, IF(AND(SIGN(F20-G20)=SIGN(O20-P20), OR(AND(F20&gt;G20, F20=O20), AND(G20&gt;F20, G20=P20))), 18, IF(SIGN(F20-G20)=SIGN(O20-P20), 12, IF(OR(F20=O20, G20=P20), 5, 0)))))</f>
        <v/>
      </c>
      <c r="R20" s="16">
        <f>IF(OR(ISBLANK(F20), ISBLANK(O20)), 0, IF(F20=O20, 3, 0))</f>
        <v/>
      </c>
      <c r="S20" s="16">
        <f>IF(OR(ISBLANK(G20), ISBLANK(P20)), 0, IF(G20=P20, 3, 0))</f>
        <v/>
      </c>
      <c r="T20" s="5">
        <f>SUM(Q20:S20)</f>
        <v/>
      </c>
      <c r="U20" s="12" t="n"/>
      <c r="V20" s="12" t="n"/>
      <c r="W20" s="12">
        <f>IF(OR(ISBLANK(F20), ISBLANK(G20)), 0, IF(AND(F20=U20, G20=V20), 25, IF(AND(SIGN(F20-G20)=SIGN(U20-V20), OR(AND(F20&gt;G20, F20=U20), AND(G20&gt;F20, G20=V20))), 18, IF(SIGN(F20-G20)=SIGN(U20-V20), 12, IF(OR(F20=U20, G20=V20), 5, 0)))))</f>
        <v/>
      </c>
      <c r="X20" s="16">
        <f>IF(OR(ISBLANK(F20), ISBLANK(U20)), 0, IF(F20=U20, 3, 0))</f>
        <v/>
      </c>
      <c r="Y20" s="16">
        <f>IF(OR(ISBLANK(G20), ISBLANK(V20)), 0, IF(G20=V20, 3, 0))</f>
        <v/>
      </c>
      <c r="Z20" s="5">
        <f>SUM(W20:Y20)</f>
        <v/>
      </c>
      <c r="AA20" s="12" t="n"/>
      <c r="AB20" s="12" t="n"/>
      <c r="AC20" s="12">
        <f>IF(OR(ISBLANK(F20), ISBLANK(G20)), 0, IF(AND(F20=AA20, G20=AB20), 25, IF(AND(SIGN(F20-G20)=SIGN(AA20-AB20), OR(AND(F20&gt;G20, F20=AA20), AND(G20&gt;F20, G20=AB20))), 18, IF(SIGN(F20-G20)=SIGN(AA20-AB20), 12, IF(OR(F20=AA20, G20=AB20), 5, 0)))))</f>
        <v/>
      </c>
      <c r="AD20" s="16">
        <f>IF(OR(ISBLANK(F20), ISBLANK(AA20)), 0, IF(F20=AA20, 3, 0))</f>
        <v/>
      </c>
      <c r="AE20" s="16">
        <f>IF(OR(ISBLANK(G20), ISBLANK(AB20)), 0, IF(G20=AB20, 3, 0))</f>
        <v/>
      </c>
      <c r="AF20" s="5">
        <f>SUM(AC20:AE20)</f>
        <v/>
      </c>
      <c r="AG20" s="12" t="n"/>
      <c r="AH20" s="12" t="n"/>
      <c r="AI20" s="12">
        <f>IF(OR(ISBLANK(F20), ISBLANK(G20)), 0, IF(AND(F20=AG20, G20=AH20), 25, IF(AND(SIGN(F20-G20)=SIGN(AG20-AH20), OR(AND(F20&gt;G20, F20=AG20), AND(G20&gt;F20, G20=AH20))), 18, IF(SIGN(F20-G20)=SIGN(AG20-AH20), 12, IF(OR(F20=AG20, G20=AH20), 5, 0)))))</f>
        <v/>
      </c>
      <c r="AJ20" s="16">
        <f>IF(OR(ISBLANK(F20), ISBLANK(AG20)), 0, IF(F20=AG20, 3, 0))</f>
        <v/>
      </c>
      <c r="AK20" s="16">
        <f>IF(OR(ISBLANK(G20), ISBLANK(AH20)), 0, IF(G20=AH20, 3, 0))</f>
        <v/>
      </c>
      <c r="AL20" s="5">
        <f>SUM(AI20:AK20)</f>
        <v/>
      </c>
    </row>
    <row r="21">
      <c r="A21" s="12" t="n">
        <v>19</v>
      </c>
      <c r="B21" s="12" t="inlineStr">
        <is>
          <t>12/06/2026</t>
        </is>
      </c>
      <c r="C21" s="12" t="inlineStr">
        <is>
          <t>16:00</t>
        </is>
      </c>
      <c r="D21" s="13" t="inlineStr">
        <is>
          <t>Grupo G</t>
        </is>
      </c>
      <c r="E21" s="14" t="inlineStr">
        <is>
          <t>Irã</t>
        </is>
      </c>
      <c r="F21" s="15" t="inlineStr"/>
      <c r="G21" s="15" t="inlineStr"/>
      <c r="H21" s="13" t="inlineStr">
        <is>
          <t>Croácia</t>
        </is>
      </c>
      <c r="I21" s="12" t="n"/>
      <c r="J21" s="12" t="n"/>
      <c r="K21" s="12">
        <f>IF(OR(ISBLANK(F21), ISBLANK(G21)), 0, IF(AND(F21=I21, G21=J21), 25, IF(AND(SIGN(F21-G21)=SIGN(I21-J21), OR(AND(F21&gt;G21, F21=I21), AND(G21&gt;F21, G21=J21))), 18, IF(SIGN(F21-G21)=SIGN(I21-J21), 12, IF(OR(F21=I21, G21=J21), 5, 0)))))</f>
        <v/>
      </c>
      <c r="L21" s="16">
        <f>IF(OR(ISBLANK(F21), ISBLANK(I21)), 0, IF(F21=I21, 3, 0))</f>
        <v/>
      </c>
      <c r="M21" s="16">
        <f>IF(OR(ISBLANK(G21), ISBLANK(J21)), 0, IF(G21=J21, 3, 0))</f>
        <v/>
      </c>
      <c r="N21" s="5">
        <f>SUM(K21:M21)</f>
        <v/>
      </c>
      <c r="O21" s="12" t="n"/>
      <c r="P21" s="12" t="n"/>
      <c r="Q21" s="12">
        <f>IF(OR(ISBLANK(F21), ISBLANK(G21)), 0, IF(AND(F21=O21, G21=P21), 25, IF(AND(SIGN(F21-G21)=SIGN(O21-P21), OR(AND(F21&gt;G21, F21=O21), AND(G21&gt;F21, G21=P21))), 18, IF(SIGN(F21-G21)=SIGN(O21-P21), 12, IF(OR(F21=O21, G21=P21), 5, 0)))))</f>
        <v/>
      </c>
      <c r="R21" s="16">
        <f>IF(OR(ISBLANK(F21), ISBLANK(O21)), 0, IF(F21=O21, 3, 0))</f>
        <v/>
      </c>
      <c r="S21" s="16">
        <f>IF(OR(ISBLANK(G21), ISBLANK(P21)), 0, IF(G21=P21, 3, 0))</f>
        <v/>
      </c>
      <c r="T21" s="5">
        <f>SUM(Q21:S21)</f>
        <v/>
      </c>
      <c r="U21" s="12" t="n"/>
      <c r="V21" s="12" t="n"/>
      <c r="W21" s="12">
        <f>IF(OR(ISBLANK(F21), ISBLANK(G21)), 0, IF(AND(F21=U21, G21=V21), 25, IF(AND(SIGN(F21-G21)=SIGN(U21-V21), OR(AND(F21&gt;G21, F21=U21), AND(G21&gt;F21, G21=V21))), 18, IF(SIGN(F21-G21)=SIGN(U21-V21), 12, IF(OR(F21=U21, G21=V21), 5, 0)))))</f>
        <v/>
      </c>
      <c r="X21" s="16">
        <f>IF(OR(ISBLANK(F21), ISBLANK(U21)), 0, IF(F21=U21, 3, 0))</f>
        <v/>
      </c>
      <c r="Y21" s="16">
        <f>IF(OR(ISBLANK(G21), ISBLANK(V21)), 0, IF(G21=V21, 3, 0))</f>
        <v/>
      </c>
      <c r="Z21" s="5">
        <f>SUM(W21:Y21)</f>
        <v/>
      </c>
      <c r="AA21" s="12" t="n"/>
      <c r="AB21" s="12" t="n"/>
      <c r="AC21" s="12">
        <f>IF(OR(ISBLANK(F21), ISBLANK(G21)), 0, IF(AND(F21=AA21, G21=AB21), 25, IF(AND(SIGN(F21-G21)=SIGN(AA21-AB21), OR(AND(F21&gt;G21, F21=AA21), AND(G21&gt;F21, G21=AB21))), 18, IF(SIGN(F21-G21)=SIGN(AA21-AB21), 12, IF(OR(F21=AA21, G21=AB21), 5, 0)))))</f>
        <v/>
      </c>
      <c r="AD21" s="16">
        <f>IF(OR(ISBLANK(F21), ISBLANK(AA21)), 0, IF(F21=AA21, 3, 0))</f>
        <v/>
      </c>
      <c r="AE21" s="16">
        <f>IF(OR(ISBLANK(G21), ISBLANK(AB21)), 0, IF(G21=AB21, 3, 0))</f>
        <v/>
      </c>
      <c r="AF21" s="5">
        <f>SUM(AC21:AE21)</f>
        <v/>
      </c>
      <c r="AG21" s="12" t="n"/>
      <c r="AH21" s="12" t="n"/>
      <c r="AI21" s="12">
        <f>IF(OR(ISBLANK(F21), ISBLANK(G21)), 0, IF(AND(F21=AG21, G21=AH21), 25, IF(AND(SIGN(F21-G21)=SIGN(AG21-AH21), OR(AND(F21&gt;G21, F21=AG21), AND(G21&gt;F21, G21=AH21))), 18, IF(SIGN(F21-G21)=SIGN(AG21-AH21), 12, IF(OR(F21=AG21, G21=AH21), 5, 0)))))</f>
        <v/>
      </c>
      <c r="AJ21" s="16">
        <f>IF(OR(ISBLANK(F21), ISBLANK(AG21)), 0, IF(F21=AG21, 3, 0))</f>
        <v/>
      </c>
      <c r="AK21" s="16">
        <f>IF(OR(ISBLANK(G21), ISBLANK(AH21)), 0, IF(G21=AH21, 3, 0))</f>
        <v/>
      </c>
      <c r="AL21" s="5">
        <f>SUM(AI21:AK21)</f>
        <v/>
      </c>
    </row>
    <row r="22">
      <c r="A22" s="12" t="n">
        <v>20</v>
      </c>
      <c r="B22" s="12" t="inlineStr">
        <is>
          <t>12/06/2026</t>
        </is>
      </c>
      <c r="C22" s="12" t="inlineStr">
        <is>
          <t>13:00</t>
        </is>
      </c>
      <c r="D22" s="13" t="inlineStr">
        <is>
          <t>Grupo H</t>
        </is>
      </c>
      <c r="E22" s="14" t="inlineStr">
        <is>
          <t>Peru</t>
        </is>
      </c>
      <c r="F22" s="15" t="inlineStr"/>
      <c r="G22" s="15" t="inlineStr"/>
      <c r="H22" s="13" t="inlineStr">
        <is>
          <t>Senegal</t>
        </is>
      </c>
      <c r="I22" s="12" t="n"/>
      <c r="J22" s="12" t="n"/>
      <c r="K22" s="12">
        <f>IF(OR(ISBLANK(F22), ISBLANK(G22)), 0, IF(AND(F22=I22, G22=J22), 25, IF(AND(SIGN(F22-G22)=SIGN(I22-J22), OR(AND(F22&gt;G22, F22=I22), AND(G22&gt;F22, G22=J22))), 18, IF(SIGN(F22-G22)=SIGN(I22-J22), 12, IF(OR(F22=I22, G22=J22), 5, 0)))))</f>
        <v/>
      </c>
      <c r="L22" s="16">
        <f>IF(OR(ISBLANK(F22), ISBLANK(I22)), 0, IF(F22=I22, 3, 0))</f>
        <v/>
      </c>
      <c r="M22" s="16">
        <f>IF(OR(ISBLANK(G22), ISBLANK(J22)), 0, IF(G22=J22, 3, 0))</f>
        <v/>
      </c>
      <c r="N22" s="5">
        <f>SUM(K22:M22)</f>
        <v/>
      </c>
      <c r="O22" s="12" t="n"/>
      <c r="P22" s="12" t="n"/>
      <c r="Q22" s="12">
        <f>IF(OR(ISBLANK(F22), ISBLANK(G22)), 0, IF(AND(F22=O22, G22=P22), 25, IF(AND(SIGN(F22-G22)=SIGN(O22-P22), OR(AND(F22&gt;G22, F22=O22), AND(G22&gt;F22, G22=P22))), 18, IF(SIGN(F22-G22)=SIGN(O22-P22), 12, IF(OR(F22=O22, G22=P22), 5, 0)))))</f>
        <v/>
      </c>
      <c r="R22" s="16">
        <f>IF(OR(ISBLANK(F22), ISBLANK(O22)), 0, IF(F22=O22, 3, 0))</f>
        <v/>
      </c>
      <c r="S22" s="16">
        <f>IF(OR(ISBLANK(G22), ISBLANK(P22)), 0, IF(G22=P22, 3, 0))</f>
        <v/>
      </c>
      <c r="T22" s="5">
        <f>SUM(Q22:S22)</f>
        <v/>
      </c>
      <c r="U22" s="12" t="n"/>
      <c r="V22" s="12" t="n"/>
      <c r="W22" s="12">
        <f>IF(OR(ISBLANK(F22), ISBLANK(G22)), 0, IF(AND(F22=U22, G22=V22), 25, IF(AND(SIGN(F22-G22)=SIGN(U22-V22), OR(AND(F22&gt;G22, F22=U22), AND(G22&gt;F22, G22=V22))), 18, IF(SIGN(F22-G22)=SIGN(U22-V22), 12, IF(OR(F22=U22, G22=V22), 5, 0)))))</f>
        <v/>
      </c>
      <c r="X22" s="16">
        <f>IF(OR(ISBLANK(F22), ISBLANK(U22)), 0, IF(F22=U22, 3, 0))</f>
        <v/>
      </c>
      <c r="Y22" s="16">
        <f>IF(OR(ISBLANK(G22), ISBLANK(V22)), 0, IF(G22=V22, 3, 0))</f>
        <v/>
      </c>
      <c r="Z22" s="5">
        <f>SUM(W22:Y22)</f>
        <v/>
      </c>
      <c r="AA22" s="12" t="n"/>
      <c r="AB22" s="12" t="n"/>
      <c r="AC22" s="12">
        <f>IF(OR(ISBLANK(F22), ISBLANK(G22)), 0, IF(AND(F22=AA22, G22=AB22), 25, IF(AND(SIGN(F22-G22)=SIGN(AA22-AB22), OR(AND(F22&gt;G22, F22=AA22), AND(G22&gt;F22, G22=AB22))), 18, IF(SIGN(F22-G22)=SIGN(AA22-AB22), 12, IF(OR(F22=AA22, G22=AB22), 5, 0)))))</f>
        <v/>
      </c>
      <c r="AD22" s="16">
        <f>IF(OR(ISBLANK(F22), ISBLANK(AA22)), 0, IF(F22=AA22, 3, 0))</f>
        <v/>
      </c>
      <c r="AE22" s="16">
        <f>IF(OR(ISBLANK(G22), ISBLANK(AB22)), 0, IF(G22=AB22, 3, 0))</f>
        <v/>
      </c>
      <c r="AF22" s="5">
        <f>SUM(AC22:AE22)</f>
        <v/>
      </c>
      <c r="AG22" s="12" t="n"/>
      <c r="AH22" s="12" t="n"/>
      <c r="AI22" s="12">
        <f>IF(OR(ISBLANK(F22), ISBLANK(G22)), 0, IF(AND(F22=AG22, G22=AH22), 25, IF(AND(SIGN(F22-G22)=SIGN(AG22-AH22), OR(AND(F22&gt;G22, F22=AG22), AND(G22&gt;F22, G22=AH22))), 18, IF(SIGN(F22-G22)=SIGN(AG22-AH22), 12, IF(OR(F22=AG22, G22=AH22), 5, 0)))))</f>
        <v/>
      </c>
      <c r="AJ22" s="16">
        <f>IF(OR(ISBLANK(F22), ISBLANK(AG22)), 0, IF(F22=AG22, 3, 0))</f>
        <v/>
      </c>
      <c r="AK22" s="16">
        <f>IF(OR(ISBLANK(G22), ISBLANK(AH22)), 0, IF(G22=AH22, 3, 0))</f>
        <v/>
      </c>
      <c r="AL22" s="5">
        <f>SUM(AI22:AK22)</f>
        <v/>
      </c>
    </row>
    <row r="23">
      <c r="A23" s="12" t="n">
        <v>21</v>
      </c>
      <c r="B23" s="12" t="inlineStr">
        <is>
          <t>12/06/2026</t>
        </is>
      </c>
      <c r="C23" s="12" t="inlineStr">
        <is>
          <t>16:00</t>
        </is>
      </c>
      <c r="D23" s="13" t="inlineStr">
        <is>
          <t>Grupo I</t>
        </is>
      </c>
      <c r="E23" s="14" t="inlineStr">
        <is>
          <t>Costa Rica</t>
        </is>
      </c>
      <c r="F23" s="15" t="inlineStr"/>
      <c r="G23" s="15" t="inlineStr"/>
      <c r="H23" s="13" t="inlineStr">
        <is>
          <t>México</t>
        </is>
      </c>
      <c r="I23" s="12" t="n"/>
      <c r="J23" s="12" t="n"/>
      <c r="K23" s="12">
        <f>IF(OR(ISBLANK(F23), ISBLANK(G23)), 0, IF(AND(F23=I23, G23=J23), 25, IF(AND(SIGN(F23-G23)=SIGN(I23-J23), OR(AND(F23&gt;G23, F23=I23), AND(G23&gt;F23, G23=J23))), 18, IF(SIGN(F23-G23)=SIGN(I23-J23), 12, IF(OR(F23=I23, G23=J23), 5, 0)))))</f>
        <v/>
      </c>
      <c r="L23" s="16">
        <f>IF(OR(ISBLANK(F23), ISBLANK(I23)), 0, IF(F23=I23, 3, 0))</f>
        <v/>
      </c>
      <c r="M23" s="16">
        <f>IF(OR(ISBLANK(G23), ISBLANK(J23)), 0, IF(G23=J23, 3, 0))</f>
        <v/>
      </c>
      <c r="N23" s="5">
        <f>SUM(K23:M23)</f>
        <v/>
      </c>
      <c r="O23" s="12" t="n"/>
      <c r="P23" s="12" t="n"/>
      <c r="Q23" s="12">
        <f>IF(OR(ISBLANK(F23), ISBLANK(G23)), 0, IF(AND(F23=O23, G23=P23), 25, IF(AND(SIGN(F23-G23)=SIGN(O23-P23), OR(AND(F23&gt;G23, F23=O23), AND(G23&gt;F23, G23=P23))), 18, IF(SIGN(F23-G23)=SIGN(O23-P23), 12, IF(OR(F23=O23, G23=P23), 5, 0)))))</f>
        <v/>
      </c>
      <c r="R23" s="16">
        <f>IF(OR(ISBLANK(F23), ISBLANK(O23)), 0, IF(F23=O23, 3, 0))</f>
        <v/>
      </c>
      <c r="S23" s="16">
        <f>IF(OR(ISBLANK(G23), ISBLANK(P23)), 0, IF(G23=P23, 3, 0))</f>
        <v/>
      </c>
      <c r="T23" s="5">
        <f>SUM(Q23:S23)</f>
        <v/>
      </c>
      <c r="U23" s="12" t="n"/>
      <c r="V23" s="12" t="n"/>
      <c r="W23" s="12">
        <f>IF(OR(ISBLANK(F23), ISBLANK(G23)), 0, IF(AND(F23=U23, G23=V23), 25, IF(AND(SIGN(F23-G23)=SIGN(U23-V23), OR(AND(F23&gt;G23, F23=U23), AND(G23&gt;F23, G23=V23))), 18, IF(SIGN(F23-G23)=SIGN(U23-V23), 12, IF(OR(F23=U23, G23=V23), 5, 0)))))</f>
        <v/>
      </c>
      <c r="X23" s="16">
        <f>IF(OR(ISBLANK(F23), ISBLANK(U23)), 0, IF(F23=U23, 3, 0))</f>
        <v/>
      </c>
      <c r="Y23" s="16">
        <f>IF(OR(ISBLANK(G23), ISBLANK(V23)), 0, IF(G23=V23, 3, 0))</f>
        <v/>
      </c>
      <c r="Z23" s="5">
        <f>SUM(W23:Y23)</f>
        <v/>
      </c>
      <c r="AA23" s="12" t="n"/>
      <c r="AB23" s="12" t="n"/>
      <c r="AC23" s="12">
        <f>IF(OR(ISBLANK(F23), ISBLANK(G23)), 0, IF(AND(F23=AA23, G23=AB23), 25, IF(AND(SIGN(F23-G23)=SIGN(AA23-AB23), OR(AND(F23&gt;G23, F23=AA23), AND(G23&gt;F23, G23=AB23))), 18, IF(SIGN(F23-G23)=SIGN(AA23-AB23), 12, IF(OR(F23=AA23, G23=AB23), 5, 0)))))</f>
        <v/>
      </c>
      <c r="AD23" s="16">
        <f>IF(OR(ISBLANK(F23), ISBLANK(AA23)), 0, IF(F23=AA23, 3, 0))</f>
        <v/>
      </c>
      <c r="AE23" s="16">
        <f>IF(OR(ISBLANK(G23), ISBLANK(AB23)), 0, IF(G23=AB23, 3, 0))</f>
        <v/>
      </c>
      <c r="AF23" s="5">
        <f>SUM(AC23:AE23)</f>
        <v/>
      </c>
      <c r="AG23" s="12" t="n"/>
      <c r="AH23" s="12" t="n"/>
      <c r="AI23" s="12">
        <f>IF(OR(ISBLANK(F23), ISBLANK(G23)), 0, IF(AND(F23=AG23, G23=AH23), 25, IF(AND(SIGN(F23-G23)=SIGN(AG23-AH23), OR(AND(F23&gt;G23, F23=AG23), AND(G23&gt;F23, G23=AH23))), 18, IF(SIGN(F23-G23)=SIGN(AG23-AH23), 12, IF(OR(F23=AG23, G23=AH23), 5, 0)))))</f>
        <v/>
      </c>
      <c r="AJ23" s="16">
        <f>IF(OR(ISBLANK(F23), ISBLANK(AG23)), 0, IF(F23=AG23, 3, 0))</f>
        <v/>
      </c>
      <c r="AK23" s="16">
        <f>IF(OR(ISBLANK(G23), ISBLANK(AH23)), 0, IF(G23=AH23, 3, 0))</f>
        <v/>
      </c>
      <c r="AL23" s="5">
        <f>SUM(AI23:AK23)</f>
        <v/>
      </c>
    </row>
    <row r="24">
      <c r="A24" s="12" t="n">
        <v>22</v>
      </c>
      <c r="B24" s="12" t="inlineStr">
        <is>
          <t>12/06/2026</t>
        </is>
      </c>
      <c r="C24" s="12" t="inlineStr">
        <is>
          <t>13:00</t>
        </is>
      </c>
      <c r="D24" s="13" t="inlineStr">
        <is>
          <t>Grupo J</t>
        </is>
      </c>
      <c r="E24" s="14" t="inlineStr">
        <is>
          <t>Marrocos</t>
        </is>
      </c>
      <c r="F24" s="15" t="inlineStr"/>
      <c r="G24" s="15" t="inlineStr"/>
      <c r="H24" s="13" t="inlineStr">
        <is>
          <t>Brasil</t>
        </is>
      </c>
      <c r="I24" s="12" t="n"/>
      <c r="J24" s="12" t="n"/>
      <c r="K24" s="12">
        <f>IF(OR(ISBLANK(F24), ISBLANK(G24)), 0, IF(AND(F24=I24, G24=J24), 25, IF(AND(SIGN(F24-G24)=SIGN(I24-J24), OR(AND(F24&gt;G24, F24=I24), AND(G24&gt;F24, G24=J24))), 18, IF(SIGN(F24-G24)=SIGN(I24-J24), 12, IF(OR(F24=I24, G24=J24), 5, 0)))))</f>
        <v/>
      </c>
      <c r="L24" s="16">
        <f>IF(OR(ISBLANK(F24), ISBLANK(I24)), 0, IF(F24=I24, 3, 0))</f>
        <v/>
      </c>
      <c r="M24" s="16">
        <f>IF(OR(ISBLANK(G24), ISBLANK(J24)), 0, IF(G24=J24, 3, 0))</f>
        <v/>
      </c>
      <c r="N24" s="5">
        <f>SUM(K24:M24)</f>
        <v/>
      </c>
      <c r="O24" s="12" t="n"/>
      <c r="P24" s="12" t="n"/>
      <c r="Q24" s="12">
        <f>IF(OR(ISBLANK(F24), ISBLANK(G24)), 0, IF(AND(F24=O24, G24=P24), 25, IF(AND(SIGN(F24-G24)=SIGN(O24-P24), OR(AND(F24&gt;G24, F24=O24), AND(G24&gt;F24, G24=P24))), 18, IF(SIGN(F24-G24)=SIGN(O24-P24), 12, IF(OR(F24=O24, G24=P24), 5, 0)))))</f>
        <v/>
      </c>
      <c r="R24" s="16">
        <f>IF(OR(ISBLANK(F24), ISBLANK(O24)), 0, IF(F24=O24, 3, 0))</f>
        <v/>
      </c>
      <c r="S24" s="16">
        <f>IF(OR(ISBLANK(G24), ISBLANK(P24)), 0, IF(G24=P24, 3, 0))</f>
        <v/>
      </c>
      <c r="T24" s="5">
        <f>SUM(Q24:S24)</f>
        <v/>
      </c>
      <c r="U24" s="12" t="n"/>
      <c r="V24" s="12" t="n"/>
      <c r="W24" s="12">
        <f>IF(OR(ISBLANK(F24), ISBLANK(G24)), 0, IF(AND(F24=U24, G24=V24), 25, IF(AND(SIGN(F24-G24)=SIGN(U24-V24), OR(AND(F24&gt;G24, F24=U24), AND(G24&gt;F24, G24=V24))), 18, IF(SIGN(F24-G24)=SIGN(U24-V24), 12, IF(OR(F24=U24, G24=V24), 5, 0)))))</f>
        <v/>
      </c>
      <c r="X24" s="16">
        <f>IF(OR(ISBLANK(F24), ISBLANK(U24)), 0, IF(F24=U24, 3, 0))</f>
        <v/>
      </c>
      <c r="Y24" s="16">
        <f>IF(OR(ISBLANK(G24), ISBLANK(V24)), 0, IF(G24=V24, 3, 0))</f>
        <v/>
      </c>
      <c r="Z24" s="5">
        <f>SUM(W24:Y24)</f>
        <v/>
      </c>
      <c r="AA24" s="12" t="n"/>
      <c r="AB24" s="12" t="n"/>
      <c r="AC24" s="12">
        <f>IF(OR(ISBLANK(F24), ISBLANK(G24)), 0, IF(AND(F24=AA24, G24=AB24), 25, IF(AND(SIGN(F24-G24)=SIGN(AA24-AB24), OR(AND(F24&gt;G24, F24=AA24), AND(G24&gt;F24, G24=AB24))), 18, IF(SIGN(F24-G24)=SIGN(AA24-AB24), 12, IF(OR(F24=AA24, G24=AB24), 5, 0)))))</f>
        <v/>
      </c>
      <c r="AD24" s="16">
        <f>IF(OR(ISBLANK(F24), ISBLANK(AA24)), 0, IF(F24=AA24, 3, 0))</f>
        <v/>
      </c>
      <c r="AE24" s="16">
        <f>IF(OR(ISBLANK(G24), ISBLANK(AB24)), 0, IF(G24=AB24, 3, 0))</f>
        <v/>
      </c>
      <c r="AF24" s="5">
        <f>SUM(AC24:AE24)</f>
        <v/>
      </c>
      <c r="AG24" s="12" t="n"/>
      <c r="AH24" s="12" t="n"/>
      <c r="AI24" s="12">
        <f>IF(OR(ISBLANK(F24), ISBLANK(G24)), 0, IF(AND(F24=AG24, G24=AH24), 25, IF(AND(SIGN(F24-G24)=SIGN(AG24-AH24), OR(AND(F24&gt;G24, F24=AG24), AND(G24&gt;F24, G24=AH24))), 18, IF(SIGN(F24-G24)=SIGN(AG24-AH24), 12, IF(OR(F24=AG24, G24=AH24), 5, 0)))))</f>
        <v/>
      </c>
      <c r="AJ24" s="16">
        <f>IF(OR(ISBLANK(F24), ISBLANK(AG24)), 0, IF(F24=AG24, 3, 0))</f>
        <v/>
      </c>
      <c r="AK24" s="16">
        <f>IF(OR(ISBLANK(G24), ISBLANK(AH24)), 0, IF(G24=AH24, 3, 0))</f>
        <v/>
      </c>
      <c r="AL24" s="5">
        <f>SUM(AI24:AK24)</f>
        <v/>
      </c>
    </row>
    <row r="25">
      <c r="A25" s="12" t="n">
        <v>23</v>
      </c>
      <c r="B25" s="12" t="inlineStr">
        <is>
          <t>12/06/2026</t>
        </is>
      </c>
      <c r="C25" s="12" t="inlineStr">
        <is>
          <t>16:00</t>
        </is>
      </c>
      <c r="D25" s="13" t="inlineStr">
        <is>
          <t>Grupo K</t>
        </is>
      </c>
      <c r="E25" s="14" t="inlineStr">
        <is>
          <t>Itália</t>
        </is>
      </c>
      <c r="F25" s="15" t="inlineStr"/>
      <c r="G25" s="15" t="inlineStr"/>
      <c r="H25" s="13" t="inlineStr">
        <is>
          <t>Argentina</t>
        </is>
      </c>
      <c r="I25" s="12" t="n"/>
      <c r="J25" s="12" t="n"/>
      <c r="K25" s="12">
        <f>IF(OR(ISBLANK(F25), ISBLANK(G25)), 0, IF(AND(F25=I25, G25=J25), 25, IF(AND(SIGN(F25-G25)=SIGN(I25-J25), OR(AND(F25&gt;G25, F25=I25), AND(G25&gt;F25, G25=J25))), 18, IF(SIGN(F25-G25)=SIGN(I25-J25), 12, IF(OR(F25=I25, G25=J25), 5, 0)))))</f>
        <v/>
      </c>
      <c r="L25" s="16">
        <f>IF(OR(ISBLANK(F25), ISBLANK(I25)), 0, IF(F25=I25, 3, 0))</f>
        <v/>
      </c>
      <c r="M25" s="16">
        <f>IF(OR(ISBLANK(G25), ISBLANK(J25)), 0, IF(G25=J25, 3, 0))</f>
        <v/>
      </c>
      <c r="N25" s="5">
        <f>SUM(K25:M25)</f>
        <v/>
      </c>
      <c r="O25" s="12" t="n"/>
      <c r="P25" s="12" t="n"/>
      <c r="Q25" s="12">
        <f>IF(OR(ISBLANK(F25), ISBLANK(G25)), 0, IF(AND(F25=O25, G25=P25), 25, IF(AND(SIGN(F25-G25)=SIGN(O25-P25), OR(AND(F25&gt;G25, F25=O25), AND(G25&gt;F25, G25=P25))), 18, IF(SIGN(F25-G25)=SIGN(O25-P25), 12, IF(OR(F25=O25, G25=P25), 5, 0)))))</f>
        <v/>
      </c>
      <c r="R25" s="16">
        <f>IF(OR(ISBLANK(F25), ISBLANK(O25)), 0, IF(F25=O25, 3, 0))</f>
        <v/>
      </c>
      <c r="S25" s="16">
        <f>IF(OR(ISBLANK(G25), ISBLANK(P25)), 0, IF(G25=P25, 3, 0))</f>
        <v/>
      </c>
      <c r="T25" s="5">
        <f>SUM(Q25:S25)</f>
        <v/>
      </c>
      <c r="U25" s="12" t="n"/>
      <c r="V25" s="12" t="n"/>
      <c r="W25" s="12">
        <f>IF(OR(ISBLANK(F25), ISBLANK(G25)), 0, IF(AND(F25=U25, G25=V25), 25, IF(AND(SIGN(F25-G25)=SIGN(U25-V25), OR(AND(F25&gt;G25, F25=U25), AND(G25&gt;F25, G25=V25))), 18, IF(SIGN(F25-G25)=SIGN(U25-V25), 12, IF(OR(F25=U25, G25=V25), 5, 0)))))</f>
        <v/>
      </c>
      <c r="X25" s="16">
        <f>IF(OR(ISBLANK(F25), ISBLANK(U25)), 0, IF(F25=U25, 3, 0))</f>
        <v/>
      </c>
      <c r="Y25" s="16">
        <f>IF(OR(ISBLANK(G25), ISBLANK(V25)), 0, IF(G25=V25, 3, 0))</f>
        <v/>
      </c>
      <c r="Z25" s="5">
        <f>SUM(W25:Y25)</f>
        <v/>
      </c>
      <c r="AA25" s="12" t="n"/>
      <c r="AB25" s="12" t="n"/>
      <c r="AC25" s="12">
        <f>IF(OR(ISBLANK(F25), ISBLANK(G25)), 0, IF(AND(F25=AA25, G25=AB25), 25, IF(AND(SIGN(F25-G25)=SIGN(AA25-AB25), OR(AND(F25&gt;G25, F25=AA25), AND(G25&gt;F25, G25=AB25))), 18, IF(SIGN(F25-G25)=SIGN(AA25-AB25), 12, IF(OR(F25=AA25, G25=AB25), 5, 0)))))</f>
        <v/>
      </c>
      <c r="AD25" s="16">
        <f>IF(OR(ISBLANK(F25), ISBLANK(AA25)), 0, IF(F25=AA25, 3, 0))</f>
        <v/>
      </c>
      <c r="AE25" s="16">
        <f>IF(OR(ISBLANK(G25), ISBLANK(AB25)), 0, IF(G25=AB25, 3, 0))</f>
        <v/>
      </c>
      <c r="AF25" s="5">
        <f>SUM(AC25:AE25)</f>
        <v/>
      </c>
      <c r="AG25" s="12" t="n"/>
      <c r="AH25" s="12" t="n"/>
      <c r="AI25" s="12">
        <f>IF(OR(ISBLANK(F25), ISBLANK(G25)), 0, IF(AND(F25=AG25, G25=AH25), 25, IF(AND(SIGN(F25-G25)=SIGN(AG25-AH25), OR(AND(F25&gt;G25, F25=AG25), AND(G25&gt;F25, G25=AH25))), 18, IF(SIGN(F25-G25)=SIGN(AG25-AH25), 12, IF(OR(F25=AG25, G25=AH25), 5, 0)))))</f>
        <v/>
      </c>
      <c r="AJ25" s="16">
        <f>IF(OR(ISBLANK(F25), ISBLANK(AG25)), 0, IF(F25=AG25, 3, 0))</f>
        <v/>
      </c>
      <c r="AK25" s="16">
        <f>IF(OR(ISBLANK(G25), ISBLANK(AH25)), 0, IF(G25=AH25, 3, 0))</f>
        <v/>
      </c>
      <c r="AL25" s="5">
        <f>SUM(AI25:AK25)</f>
        <v/>
      </c>
    </row>
    <row r="26">
      <c r="A26" s="12" t="n">
        <v>24</v>
      </c>
      <c r="B26" s="12" t="inlineStr">
        <is>
          <t>12/06/2026</t>
        </is>
      </c>
      <c r="C26" s="12" t="inlineStr">
        <is>
          <t>13:00</t>
        </is>
      </c>
      <c r="D26" s="13" t="inlineStr">
        <is>
          <t>Grupo L</t>
        </is>
      </c>
      <c r="E26" s="14" t="inlineStr">
        <is>
          <t>Colômbia</t>
        </is>
      </c>
      <c r="F26" s="15" t="inlineStr"/>
      <c r="G26" s="15" t="inlineStr"/>
      <c r="H26" s="13" t="inlineStr">
        <is>
          <t>Alemanha</t>
        </is>
      </c>
      <c r="I26" s="12" t="n"/>
      <c r="J26" s="12" t="n"/>
      <c r="K26" s="12">
        <f>IF(OR(ISBLANK(F26), ISBLANK(G26)), 0, IF(AND(F26=I26, G26=J26), 25, IF(AND(SIGN(F26-G26)=SIGN(I26-J26), OR(AND(F26&gt;G26, F26=I26), AND(G26&gt;F26, G26=J26))), 18, IF(SIGN(F26-G26)=SIGN(I26-J26), 12, IF(OR(F26=I26, G26=J26), 5, 0)))))</f>
        <v/>
      </c>
      <c r="L26" s="16">
        <f>IF(OR(ISBLANK(F26), ISBLANK(I26)), 0, IF(F26=I26, 3, 0))</f>
        <v/>
      </c>
      <c r="M26" s="16">
        <f>IF(OR(ISBLANK(G26), ISBLANK(J26)), 0, IF(G26=J26, 3, 0))</f>
        <v/>
      </c>
      <c r="N26" s="5">
        <f>SUM(K26:M26)</f>
        <v/>
      </c>
      <c r="O26" s="12" t="n"/>
      <c r="P26" s="12" t="n"/>
      <c r="Q26" s="12">
        <f>IF(OR(ISBLANK(F26), ISBLANK(G26)), 0, IF(AND(F26=O26, G26=P26), 25, IF(AND(SIGN(F26-G26)=SIGN(O26-P26), OR(AND(F26&gt;G26, F26=O26), AND(G26&gt;F26, G26=P26))), 18, IF(SIGN(F26-G26)=SIGN(O26-P26), 12, IF(OR(F26=O26, G26=P26), 5, 0)))))</f>
        <v/>
      </c>
      <c r="R26" s="16">
        <f>IF(OR(ISBLANK(F26), ISBLANK(O26)), 0, IF(F26=O26, 3, 0))</f>
        <v/>
      </c>
      <c r="S26" s="16">
        <f>IF(OR(ISBLANK(G26), ISBLANK(P26)), 0, IF(G26=P26, 3, 0))</f>
        <v/>
      </c>
      <c r="T26" s="5">
        <f>SUM(Q26:S26)</f>
        <v/>
      </c>
      <c r="U26" s="12" t="n"/>
      <c r="V26" s="12" t="n"/>
      <c r="W26" s="12">
        <f>IF(OR(ISBLANK(F26), ISBLANK(G26)), 0, IF(AND(F26=U26, G26=V26), 25, IF(AND(SIGN(F26-G26)=SIGN(U26-V26), OR(AND(F26&gt;G26, F26=U26), AND(G26&gt;F26, G26=V26))), 18, IF(SIGN(F26-G26)=SIGN(U26-V26), 12, IF(OR(F26=U26, G26=V26), 5, 0)))))</f>
        <v/>
      </c>
      <c r="X26" s="16">
        <f>IF(OR(ISBLANK(F26), ISBLANK(U26)), 0, IF(F26=U26, 3, 0))</f>
        <v/>
      </c>
      <c r="Y26" s="16">
        <f>IF(OR(ISBLANK(G26), ISBLANK(V26)), 0, IF(G26=V26, 3, 0))</f>
        <v/>
      </c>
      <c r="Z26" s="5">
        <f>SUM(W26:Y26)</f>
        <v/>
      </c>
      <c r="AA26" s="12" t="n"/>
      <c r="AB26" s="12" t="n"/>
      <c r="AC26" s="12">
        <f>IF(OR(ISBLANK(F26), ISBLANK(G26)), 0, IF(AND(F26=AA26, G26=AB26), 25, IF(AND(SIGN(F26-G26)=SIGN(AA26-AB26), OR(AND(F26&gt;G26, F26=AA26), AND(G26&gt;F26, G26=AB26))), 18, IF(SIGN(F26-G26)=SIGN(AA26-AB26), 12, IF(OR(F26=AA26, G26=AB26), 5, 0)))))</f>
        <v/>
      </c>
      <c r="AD26" s="16">
        <f>IF(OR(ISBLANK(F26), ISBLANK(AA26)), 0, IF(F26=AA26, 3, 0))</f>
        <v/>
      </c>
      <c r="AE26" s="16">
        <f>IF(OR(ISBLANK(G26), ISBLANK(AB26)), 0, IF(G26=AB26, 3, 0))</f>
        <v/>
      </c>
      <c r="AF26" s="5">
        <f>SUM(AC26:AE26)</f>
        <v/>
      </c>
      <c r="AG26" s="12" t="n"/>
      <c r="AH26" s="12" t="n"/>
      <c r="AI26" s="12">
        <f>IF(OR(ISBLANK(F26), ISBLANK(G26)), 0, IF(AND(F26=AG26, G26=AH26), 25, IF(AND(SIGN(F26-G26)=SIGN(AG26-AH26), OR(AND(F26&gt;G26, F26=AG26), AND(G26&gt;F26, G26=AH26))), 18, IF(SIGN(F26-G26)=SIGN(AG26-AH26), 12, IF(OR(F26=AG26, G26=AH26), 5, 0)))))</f>
        <v/>
      </c>
      <c r="AJ26" s="16">
        <f>IF(OR(ISBLANK(F26), ISBLANK(AG26)), 0, IF(F26=AG26, 3, 0))</f>
        <v/>
      </c>
      <c r="AK26" s="16">
        <f>IF(OR(ISBLANK(G26), ISBLANK(AH26)), 0, IF(G26=AH26, 3, 0))</f>
        <v/>
      </c>
      <c r="AL26" s="5">
        <f>SUM(AI26:AK26)</f>
        <v/>
      </c>
    </row>
    <row r="27">
      <c r="A27" s="12" t="n">
        <v>25</v>
      </c>
      <c r="B27" s="12" t="inlineStr">
        <is>
          <t>13/06/2026</t>
        </is>
      </c>
      <c r="C27" s="12" t="inlineStr">
        <is>
          <t>16:00</t>
        </is>
      </c>
      <c r="D27" s="13" t="inlineStr">
        <is>
          <t>Grupo A</t>
        </is>
      </c>
      <c r="E27" s="14" t="inlineStr">
        <is>
          <t>México</t>
        </is>
      </c>
      <c r="F27" s="15" t="inlineStr"/>
      <c r="G27" s="15" t="inlineStr"/>
      <c r="H27" s="13" t="inlineStr">
        <is>
          <t>Costa Rica</t>
        </is>
      </c>
      <c r="I27" s="12" t="n"/>
      <c r="J27" s="12" t="n"/>
      <c r="K27" s="12">
        <f>IF(OR(ISBLANK(F27), ISBLANK(G27)), 0, IF(AND(F27=I27, G27=J27), 25, IF(AND(SIGN(F27-G27)=SIGN(I27-J27), OR(AND(F27&gt;G27, F27=I27), AND(G27&gt;F27, G27=J27))), 18, IF(SIGN(F27-G27)=SIGN(I27-J27), 12, IF(OR(F27=I27, G27=J27), 5, 0)))))</f>
        <v/>
      </c>
      <c r="L27" s="16">
        <f>IF(OR(ISBLANK(F27), ISBLANK(I27)), 0, IF(F27=I27, 3, 0))</f>
        <v/>
      </c>
      <c r="M27" s="16">
        <f>IF(OR(ISBLANK(G27), ISBLANK(J27)), 0, IF(G27=J27, 3, 0))</f>
        <v/>
      </c>
      <c r="N27" s="5">
        <f>SUM(K27:M27)</f>
        <v/>
      </c>
      <c r="O27" s="12" t="n"/>
      <c r="P27" s="12" t="n"/>
      <c r="Q27" s="12">
        <f>IF(OR(ISBLANK(F27), ISBLANK(G27)), 0, IF(AND(F27=O27, G27=P27), 25, IF(AND(SIGN(F27-G27)=SIGN(O27-P27), OR(AND(F27&gt;G27, F27=O27), AND(G27&gt;F27, G27=P27))), 18, IF(SIGN(F27-G27)=SIGN(O27-P27), 12, IF(OR(F27=O27, G27=P27), 5, 0)))))</f>
        <v/>
      </c>
      <c r="R27" s="16">
        <f>IF(OR(ISBLANK(F27), ISBLANK(O27)), 0, IF(F27=O27, 3, 0))</f>
        <v/>
      </c>
      <c r="S27" s="16">
        <f>IF(OR(ISBLANK(G27), ISBLANK(P27)), 0, IF(G27=P27, 3, 0))</f>
        <v/>
      </c>
      <c r="T27" s="5">
        <f>SUM(Q27:S27)</f>
        <v/>
      </c>
      <c r="U27" s="12" t="n"/>
      <c r="V27" s="12" t="n"/>
      <c r="W27" s="12">
        <f>IF(OR(ISBLANK(F27), ISBLANK(G27)), 0, IF(AND(F27=U27, G27=V27), 25, IF(AND(SIGN(F27-G27)=SIGN(U27-V27), OR(AND(F27&gt;G27, F27=U27), AND(G27&gt;F27, G27=V27))), 18, IF(SIGN(F27-G27)=SIGN(U27-V27), 12, IF(OR(F27=U27, G27=V27), 5, 0)))))</f>
        <v/>
      </c>
      <c r="X27" s="16">
        <f>IF(OR(ISBLANK(F27), ISBLANK(U27)), 0, IF(F27=U27, 3, 0))</f>
        <v/>
      </c>
      <c r="Y27" s="16">
        <f>IF(OR(ISBLANK(G27), ISBLANK(V27)), 0, IF(G27=V27, 3, 0))</f>
        <v/>
      </c>
      <c r="Z27" s="5">
        <f>SUM(W27:Y27)</f>
        <v/>
      </c>
      <c r="AA27" s="12" t="n"/>
      <c r="AB27" s="12" t="n"/>
      <c r="AC27" s="12">
        <f>IF(OR(ISBLANK(F27), ISBLANK(G27)), 0, IF(AND(F27=AA27, G27=AB27), 25, IF(AND(SIGN(F27-G27)=SIGN(AA27-AB27), OR(AND(F27&gt;G27, F27=AA27), AND(G27&gt;F27, G27=AB27))), 18, IF(SIGN(F27-G27)=SIGN(AA27-AB27), 12, IF(OR(F27=AA27, G27=AB27), 5, 0)))))</f>
        <v/>
      </c>
      <c r="AD27" s="16">
        <f>IF(OR(ISBLANK(F27), ISBLANK(AA27)), 0, IF(F27=AA27, 3, 0))</f>
        <v/>
      </c>
      <c r="AE27" s="16">
        <f>IF(OR(ISBLANK(G27), ISBLANK(AB27)), 0, IF(G27=AB27, 3, 0))</f>
        <v/>
      </c>
      <c r="AF27" s="5">
        <f>SUM(AC27:AE27)</f>
        <v/>
      </c>
      <c r="AG27" s="12" t="n"/>
      <c r="AH27" s="12" t="n"/>
      <c r="AI27" s="12">
        <f>IF(OR(ISBLANK(F27), ISBLANK(G27)), 0, IF(AND(F27=AG27, G27=AH27), 25, IF(AND(SIGN(F27-G27)=SIGN(AG27-AH27), OR(AND(F27&gt;G27, F27=AG27), AND(G27&gt;F27, G27=AH27))), 18, IF(SIGN(F27-G27)=SIGN(AG27-AH27), 12, IF(OR(F27=AG27, G27=AH27), 5, 0)))))</f>
        <v/>
      </c>
      <c r="AJ27" s="16">
        <f>IF(OR(ISBLANK(F27), ISBLANK(AG27)), 0, IF(F27=AG27, 3, 0))</f>
        <v/>
      </c>
      <c r="AK27" s="16">
        <f>IF(OR(ISBLANK(G27), ISBLANK(AH27)), 0, IF(G27=AH27, 3, 0))</f>
        <v/>
      </c>
      <c r="AL27" s="5">
        <f>SUM(AI27:AK27)</f>
        <v/>
      </c>
    </row>
    <row r="28">
      <c r="A28" s="12" t="n">
        <v>26</v>
      </c>
      <c r="B28" s="12" t="inlineStr">
        <is>
          <t>13/06/2026</t>
        </is>
      </c>
      <c r="C28" s="12" t="inlineStr">
        <is>
          <t>13:00</t>
        </is>
      </c>
      <c r="D28" s="13" t="inlineStr">
        <is>
          <t>Grupo B</t>
        </is>
      </c>
      <c r="E28" s="14" t="inlineStr">
        <is>
          <t>Brasil</t>
        </is>
      </c>
      <c r="F28" s="15" t="inlineStr"/>
      <c r="G28" s="15" t="inlineStr"/>
      <c r="H28" s="13" t="inlineStr">
        <is>
          <t>Marrocos</t>
        </is>
      </c>
      <c r="I28" s="12" t="n"/>
      <c r="J28" s="12" t="n"/>
      <c r="K28" s="12">
        <f>IF(OR(ISBLANK(F28), ISBLANK(G28)), 0, IF(AND(F28=I28, G28=J28), 25, IF(AND(SIGN(F28-G28)=SIGN(I28-J28), OR(AND(F28&gt;G28, F28=I28), AND(G28&gt;F28, G28=J28))), 18, IF(SIGN(F28-G28)=SIGN(I28-J28), 12, IF(OR(F28=I28, G28=J28), 5, 0)))))</f>
        <v/>
      </c>
      <c r="L28" s="16">
        <f>IF(OR(ISBLANK(F28), ISBLANK(I28)), 0, IF(F28=I28, 3, 0))</f>
        <v/>
      </c>
      <c r="M28" s="16">
        <f>IF(OR(ISBLANK(G28), ISBLANK(J28)), 0, IF(G28=J28, 3, 0))</f>
        <v/>
      </c>
      <c r="N28" s="5">
        <f>SUM(K28:M28)</f>
        <v/>
      </c>
      <c r="O28" s="12" t="n"/>
      <c r="P28" s="12" t="n"/>
      <c r="Q28" s="12">
        <f>IF(OR(ISBLANK(F28), ISBLANK(G28)), 0, IF(AND(F28=O28, G28=P28), 25, IF(AND(SIGN(F28-G28)=SIGN(O28-P28), OR(AND(F28&gt;G28, F28=O28), AND(G28&gt;F28, G28=P28))), 18, IF(SIGN(F28-G28)=SIGN(O28-P28), 12, IF(OR(F28=O28, G28=P28), 5, 0)))))</f>
        <v/>
      </c>
      <c r="R28" s="16">
        <f>IF(OR(ISBLANK(F28), ISBLANK(O28)), 0, IF(F28=O28, 3, 0))</f>
        <v/>
      </c>
      <c r="S28" s="16">
        <f>IF(OR(ISBLANK(G28), ISBLANK(P28)), 0, IF(G28=P28, 3, 0))</f>
        <v/>
      </c>
      <c r="T28" s="5">
        <f>SUM(Q28:S28)</f>
        <v/>
      </c>
      <c r="U28" s="12" t="n"/>
      <c r="V28" s="12" t="n"/>
      <c r="W28" s="12">
        <f>IF(OR(ISBLANK(F28), ISBLANK(G28)), 0, IF(AND(F28=U28, G28=V28), 25, IF(AND(SIGN(F28-G28)=SIGN(U28-V28), OR(AND(F28&gt;G28, F28=U28), AND(G28&gt;F28, G28=V28))), 18, IF(SIGN(F28-G28)=SIGN(U28-V28), 12, IF(OR(F28=U28, G28=V28), 5, 0)))))</f>
        <v/>
      </c>
      <c r="X28" s="16">
        <f>IF(OR(ISBLANK(F28), ISBLANK(U28)), 0, IF(F28=U28, 3, 0))</f>
        <v/>
      </c>
      <c r="Y28" s="16">
        <f>IF(OR(ISBLANK(G28), ISBLANK(V28)), 0, IF(G28=V28, 3, 0))</f>
        <v/>
      </c>
      <c r="Z28" s="5">
        <f>SUM(W28:Y28)</f>
        <v/>
      </c>
      <c r="AA28" s="12" t="n"/>
      <c r="AB28" s="12" t="n"/>
      <c r="AC28" s="12">
        <f>IF(OR(ISBLANK(F28), ISBLANK(G28)), 0, IF(AND(F28=AA28, G28=AB28), 25, IF(AND(SIGN(F28-G28)=SIGN(AA28-AB28), OR(AND(F28&gt;G28, F28=AA28), AND(G28&gt;F28, G28=AB28))), 18, IF(SIGN(F28-G28)=SIGN(AA28-AB28), 12, IF(OR(F28=AA28, G28=AB28), 5, 0)))))</f>
        <v/>
      </c>
      <c r="AD28" s="16">
        <f>IF(OR(ISBLANK(F28), ISBLANK(AA28)), 0, IF(F28=AA28, 3, 0))</f>
        <v/>
      </c>
      <c r="AE28" s="16">
        <f>IF(OR(ISBLANK(G28), ISBLANK(AB28)), 0, IF(G28=AB28, 3, 0))</f>
        <v/>
      </c>
      <c r="AF28" s="5">
        <f>SUM(AC28:AE28)</f>
        <v/>
      </c>
      <c r="AG28" s="12" t="n"/>
      <c r="AH28" s="12" t="n"/>
      <c r="AI28" s="12">
        <f>IF(OR(ISBLANK(F28), ISBLANK(G28)), 0, IF(AND(F28=AG28, G28=AH28), 25, IF(AND(SIGN(F28-G28)=SIGN(AG28-AH28), OR(AND(F28&gt;G28, F28=AG28), AND(G28&gt;F28, G28=AH28))), 18, IF(SIGN(F28-G28)=SIGN(AG28-AH28), 12, IF(OR(F28=AG28, G28=AH28), 5, 0)))))</f>
        <v/>
      </c>
      <c r="AJ28" s="16">
        <f>IF(OR(ISBLANK(F28), ISBLANK(AG28)), 0, IF(F28=AG28, 3, 0))</f>
        <v/>
      </c>
      <c r="AK28" s="16">
        <f>IF(OR(ISBLANK(G28), ISBLANK(AH28)), 0, IF(G28=AH28, 3, 0))</f>
        <v/>
      </c>
      <c r="AL28" s="5">
        <f>SUM(AI28:AK28)</f>
        <v/>
      </c>
    </row>
    <row r="29">
      <c r="A29" s="12" t="n">
        <v>27</v>
      </c>
      <c r="B29" s="12" t="inlineStr">
        <is>
          <t>13/06/2026</t>
        </is>
      </c>
      <c r="C29" s="12" t="inlineStr">
        <is>
          <t>16:00</t>
        </is>
      </c>
      <c r="D29" s="13" t="inlineStr">
        <is>
          <t>Grupo C</t>
        </is>
      </c>
      <c r="E29" s="14" t="inlineStr">
        <is>
          <t>Argentina</t>
        </is>
      </c>
      <c r="F29" s="15" t="inlineStr"/>
      <c r="G29" s="15" t="inlineStr"/>
      <c r="H29" s="13" t="inlineStr">
        <is>
          <t>Itália</t>
        </is>
      </c>
      <c r="I29" s="12" t="n"/>
      <c r="J29" s="12" t="n"/>
      <c r="K29" s="12">
        <f>IF(OR(ISBLANK(F29), ISBLANK(G29)), 0, IF(AND(F29=I29, G29=J29), 25, IF(AND(SIGN(F29-G29)=SIGN(I29-J29), OR(AND(F29&gt;G29, F29=I29), AND(G29&gt;F29, G29=J29))), 18, IF(SIGN(F29-G29)=SIGN(I29-J29), 12, IF(OR(F29=I29, G29=J29), 5, 0)))))</f>
        <v/>
      </c>
      <c r="L29" s="16">
        <f>IF(OR(ISBLANK(F29), ISBLANK(I29)), 0, IF(F29=I29, 3, 0))</f>
        <v/>
      </c>
      <c r="M29" s="16">
        <f>IF(OR(ISBLANK(G29), ISBLANK(J29)), 0, IF(G29=J29, 3, 0))</f>
        <v/>
      </c>
      <c r="N29" s="5">
        <f>SUM(K29:M29)</f>
        <v/>
      </c>
      <c r="O29" s="12" t="n"/>
      <c r="P29" s="12" t="n"/>
      <c r="Q29" s="12">
        <f>IF(OR(ISBLANK(F29), ISBLANK(G29)), 0, IF(AND(F29=O29, G29=P29), 25, IF(AND(SIGN(F29-G29)=SIGN(O29-P29), OR(AND(F29&gt;G29, F29=O29), AND(G29&gt;F29, G29=P29))), 18, IF(SIGN(F29-G29)=SIGN(O29-P29), 12, IF(OR(F29=O29, G29=P29), 5, 0)))))</f>
        <v/>
      </c>
      <c r="R29" s="16">
        <f>IF(OR(ISBLANK(F29), ISBLANK(O29)), 0, IF(F29=O29, 3, 0))</f>
        <v/>
      </c>
      <c r="S29" s="16">
        <f>IF(OR(ISBLANK(G29), ISBLANK(P29)), 0, IF(G29=P29, 3, 0))</f>
        <v/>
      </c>
      <c r="T29" s="5">
        <f>SUM(Q29:S29)</f>
        <v/>
      </c>
      <c r="U29" s="12" t="n"/>
      <c r="V29" s="12" t="n"/>
      <c r="W29" s="12">
        <f>IF(OR(ISBLANK(F29), ISBLANK(G29)), 0, IF(AND(F29=U29, G29=V29), 25, IF(AND(SIGN(F29-G29)=SIGN(U29-V29), OR(AND(F29&gt;G29, F29=U29), AND(G29&gt;F29, G29=V29))), 18, IF(SIGN(F29-G29)=SIGN(U29-V29), 12, IF(OR(F29=U29, G29=V29), 5, 0)))))</f>
        <v/>
      </c>
      <c r="X29" s="16">
        <f>IF(OR(ISBLANK(F29), ISBLANK(U29)), 0, IF(F29=U29, 3, 0))</f>
        <v/>
      </c>
      <c r="Y29" s="16">
        <f>IF(OR(ISBLANK(G29), ISBLANK(V29)), 0, IF(G29=V29, 3, 0))</f>
        <v/>
      </c>
      <c r="Z29" s="5">
        <f>SUM(W29:Y29)</f>
        <v/>
      </c>
      <c r="AA29" s="12" t="n"/>
      <c r="AB29" s="12" t="n"/>
      <c r="AC29" s="12">
        <f>IF(OR(ISBLANK(F29), ISBLANK(G29)), 0, IF(AND(F29=AA29, G29=AB29), 25, IF(AND(SIGN(F29-G29)=SIGN(AA29-AB29), OR(AND(F29&gt;G29, F29=AA29), AND(G29&gt;F29, G29=AB29))), 18, IF(SIGN(F29-G29)=SIGN(AA29-AB29), 12, IF(OR(F29=AA29, G29=AB29), 5, 0)))))</f>
        <v/>
      </c>
      <c r="AD29" s="16">
        <f>IF(OR(ISBLANK(F29), ISBLANK(AA29)), 0, IF(F29=AA29, 3, 0))</f>
        <v/>
      </c>
      <c r="AE29" s="16">
        <f>IF(OR(ISBLANK(G29), ISBLANK(AB29)), 0, IF(G29=AB29, 3, 0))</f>
        <v/>
      </c>
      <c r="AF29" s="5">
        <f>SUM(AC29:AE29)</f>
        <v/>
      </c>
      <c r="AG29" s="12" t="n"/>
      <c r="AH29" s="12" t="n"/>
      <c r="AI29" s="12">
        <f>IF(OR(ISBLANK(F29), ISBLANK(G29)), 0, IF(AND(F29=AG29, G29=AH29), 25, IF(AND(SIGN(F29-G29)=SIGN(AG29-AH29), OR(AND(F29&gt;G29, F29=AG29), AND(G29&gt;F29, G29=AH29))), 18, IF(SIGN(F29-G29)=SIGN(AG29-AH29), 12, IF(OR(F29=AG29, G29=AH29), 5, 0)))))</f>
        <v/>
      </c>
      <c r="AJ29" s="16">
        <f>IF(OR(ISBLANK(F29), ISBLANK(AG29)), 0, IF(F29=AG29, 3, 0))</f>
        <v/>
      </c>
      <c r="AK29" s="16">
        <f>IF(OR(ISBLANK(G29), ISBLANK(AH29)), 0, IF(G29=AH29, 3, 0))</f>
        <v/>
      </c>
      <c r="AL29" s="5">
        <f>SUM(AI29:AK29)</f>
        <v/>
      </c>
    </row>
    <row r="30">
      <c r="A30" s="12" t="n">
        <v>28</v>
      </c>
      <c r="B30" s="12" t="inlineStr">
        <is>
          <t>13/06/2026</t>
        </is>
      </c>
      <c r="C30" s="12" t="inlineStr">
        <is>
          <t>13:00</t>
        </is>
      </c>
      <c r="D30" s="13" t="inlineStr">
        <is>
          <t>Grupo D</t>
        </is>
      </c>
      <c r="E30" s="14" t="inlineStr">
        <is>
          <t>Alemanha</t>
        </is>
      </c>
      <c r="F30" s="15" t="inlineStr"/>
      <c r="G30" s="15" t="inlineStr"/>
      <c r="H30" s="13" t="inlineStr">
        <is>
          <t>Colômbia</t>
        </is>
      </c>
      <c r="I30" s="12" t="n"/>
      <c r="J30" s="12" t="n"/>
      <c r="K30" s="12">
        <f>IF(OR(ISBLANK(F30), ISBLANK(G30)), 0, IF(AND(F30=I30, G30=J30), 25, IF(AND(SIGN(F30-G30)=SIGN(I30-J30), OR(AND(F30&gt;G30, F30=I30), AND(G30&gt;F30, G30=J30))), 18, IF(SIGN(F30-G30)=SIGN(I30-J30), 12, IF(OR(F30=I30, G30=J30), 5, 0)))))</f>
        <v/>
      </c>
      <c r="L30" s="16">
        <f>IF(OR(ISBLANK(F30), ISBLANK(I30)), 0, IF(F30=I30, 3, 0))</f>
        <v/>
      </c>
      <c r="M30" s="16">
        <f>IF(OR(ISBLANK(G30), ISBLANK(J30)), 0, IF(G30=J30, 3, 0))</f>
        <v/>
      </c>
      <c r="N30" s="5">
        <f>SUM(K30:M30)</f>
        <v/>
      </c>
      <c r="O30" s="12" t="n"/>
      <c r="P30" s="12" t="n"/>
      <c r="Q30" s="12">
        <f>IF(OR(ISBLANK(F30), ISBLANK(G30)), 0, IF(AND(F30=O30, G30=P30), 25, IF(AND(SIGN(F30-G30)=SIGN(O30-P30), OR(AND(F30&gt;G30, F30=O30), AND(G30&gt;F30, G30=P30))), 18, IF(SIGN(F30-G30)=SIGN(O30-P30), 12, IF(OR(F30=O30, G30=P30), 5, 0)))))</f>
        <v/>
      </c>
      <c r="R30" s="16">
        <f>IF(OR(ISBLANK(F30), ISBLANK(O30)), 0, IF(F30=O30, 3, 0))</f>
        <v/>
      </c>
      <c r="S30" s="16">
        <f>IF(OR(ISBLANK(G30), ISBLANK(P30)), 0, IF(G30=P30, 3, 0))</f>
        <v/>
      </c>
      <c r="T30" s="5">
        <f>SUM(Q30:S30)</f>
        <v/>
      </c>
      <c r="U30" s="12" t="n"/>
      <c r="V30" s="12" t="n"/>
      <c r="W30" s="12">
        <f>IF(OR(ISBLANK(F30), ISBLANK(G30)), 0, IF(AND(F30=U30, G30=V30), 25, IF(AND(SIGN(F30-G30)=SIGN(U30-V30), OR(AND(F30&gt;G30, F30=U30), AND(G30&gt;F30, G30=V30))), 18, IF(SIGN(F30-G30)=SIGN(U30-V30), 12, IF(OR(F30=U30, G30=V30), 5, 0)))))</f>
        <v/>
      </c>
      <c r="X30" s="16">
        <f>IF(OR(ISBLANK(F30), ISBLANK(U30)), 0, IF(F30=U30, 3, 0))</f>
        <v/>
      </c>
      <c r="Y30" s="16">
        <f>IF(OR(ISBLANK(G30), ISBLANK(V30)), 0, IF(G30=V30, 3, 0))</f>
        <v/>
      </c>
      <c r="Z30" s="5">
        <f>SUM(W30:Y30)</f>
        <v/>
      </c>
      <c r="AA30" s="12" t="n"/>
      <c r="AB30" s="12" t="n"/>
      <c r="AC30" s="12">
        <f>IF(OR(ISBLANK(F30), ISBLANK(G30)), 0, IF(AND(F30=AA30, G30=AB30), 25, IF(AND(SIGN(F30-G30)=SIGN(AA30-AB30), OR(AND(F30&gt;G30, F30=AA30), AND(G30&gt;F30, G30=AB30))), 18, IF(SIGN(F30-G30)=SIGN(AA30-AB30), 12, IF(OR(F30=AA30, G30=AB30), 5, 0)))))</f>
        <v/>
      </c>
      <c r="AD30" s="16">
        <f>IF(OR(ISBLANK(F30), ISBLANK(AA30)), 0, IF(F30=AA30, 3, 0))</f>
        <v/>
      </c>
      <c r="AE30" s="16">
        <f>IF(OR(ISBLANK(G30), ISBLANK(AB30)), 0, IF(G30=AB30, 3, 0))</f>
        <v/>
      </c>
      <c r="AF30" s="5">
        <f>SUM(AC30:AE30)</f>
        <v/>
      </c>
      <c r="AG30" s="12" t="n"/>
      <c r="AH30" s="12" t="n"/>
      <c r="AI30" s="12">
        <f>IF(OR(ISBLANK(F30), ISBLANK(G30)), 0, IF(AND(F30=AG30, G30=AH30), 25, IF(AND(SIGN(F30-G30)=SIGN(AG30-AH30), OR(AND(F30&gt;G30, F30=AG30), AND(G30&gt;F30, G30=AH30))), 18, IF(SIGN(F30-G30)=SIGN(AG30-AH30), 12, IF(OR(F30=AG30, G30=AH30), 5, 0)))))</f>
        <v/>
      </c>
      <c r="AJ30" s="16">
        <f>IF(OR(ISBLANK(F30), ISBLANK(AG30)), 0, IF(F30=AG30, 3, 0))</f>
        <v/>
      </c>
      <c r="AK30" s="16">
        <f>IF(OR(ISBLANK(G30), ISBLANK(AH30)), 0, IF(G30=AH30, 3, 0))</f>
        <v/>
      </c>
      <c r="AL30" s="5">
        <f>SUM(AI30:AK30)</f>
        <v/>
      </c>
    </row>
    <row r="31">
      <c r="A31" s="12" t="n">
        <v>29</v>
      </c>
      <c r="B31" s="12" t="inlineStr">
        <is>
          <t>13/06/2026</t>
        </is>
      </c>
      <c r="C31" s="12" t="inlineStr">
        <is>
          <t>16:00</t>
        </is>
      </c>
      <c r="D31" s="13" t="inlineStr">
        <is>
          <t>Grupo E</t>
        </is>
      </c>
      <c r="E31" s="14" t="inlineStr">
        <is>
          <t>Uruguai</t>
        </is>
      </c>
      <c r="F31" s="15" t="inlineStr"/>
      <c r="G31" s="15" t="inlineStr"/>
      <c r="H31" s="13" t="inlineStr">
        <is>
          <t>Camarões</t>
        </is>
      </c>
      <c r="I31" s="12" t="n"/>
      <c r="J31" s="12" t="n"/>
      <c r="K31" s="12">
        <f>IF(OR(ISBLANK(F31), ISBLANK(G31)), 0, IF(AND(F31=I31, G31=J31), 25, IF(AND(SIGN(F31-G31)=SIGN(I31-J31), OR(AND(F31&gt;G31, F31=I31), AND(G31&gt;F31, G31=J31))), 18, IF(SIGN(F31-G31)=SIGN(I31-J31), 12, IF(OR(F31=I31, G31=J31), 5, 0)))))</f>
        <v/>
      </c>
      <c r="L31" s="16">
        <f>IF(OR(ISBLANK(F31), ISBLANK(I31)), 0, IF(F31=I31, 3, 0))</f>
        <v/>
      </c>
      <c r="M31" s="16">
        <f>IF(OR(ISBLANK(G31), ISBLANK(J31)), 0, IF(G31=J31, 3, 0))</f>
        <v/>
      </c>
      <c r="N31" s="5">
        <f>SUM(K31:M31)</f>
        <v/>
      </c>
      <c r="O31" s="12" t="n"/>
      <c r="P31" s="12" t="n"/>
      <c r="Q31" s="12">
        <f>IF(OR(ISBLANK(F31), ISBLANK(G31)), 0, IF(AND(F31=O31, G31=P31), 25, IF(AND(SIGN(F31-G31)=SIGN(O31-P31), OR(AND(F31&gt;G31, F31=O31), AND(G31&gt;F31, G31=P31))), 18, IF(SIGN(F31-G31)=SIGN(O31-P31), 12, IF(OR(F31=O31, G31=P31), 5, 0)))))</f>
        <v/>
      </c>
      <c r="R31" s="16">
        <f>IF(OR(ISBLANK(F31), ISBLANK(O31)), 0, IF(F31=O31, 3, 0))</f>
        <v/>
      </c>
      <c r="S31" s="16">
        <f>IF(OR(ISBLANK(G31), ISBLANK(P31)), 0, IF(G31=P31, 3, 0))</f>
        <v/>
      </c>
      <c r="T31" s="5">
        <f>SUM(Q31:S31)</f>
        <v/>
      </c>
      <c r="U31" s="12" t="n"/>
      <c r="V31" s="12" t="n"/>
      <c r="W31" s="12">
        <f>IF(OR(ISBLANK(F31), ISBLANK(G31)), 0, IF(AND(F31=U31, G31=V31), 25, IF(AND(SIGN(F31-G31)=SIGN(U31-V31), OR(AND(F31&gt;G31, F31=U31), AND(G31&gt;F31, G31=V31))), 18, IF(SIGN(F31-G31)=SIGN(U31-V31), 12, IF(OR(F31=U31, G31=V31), 5, 0)))))</f>
        <v/>
      </c>
      <c r="X31" s="16">
        <f>IF(OR(ISBLANK(F31), ISBLANK(U31)), 0, IF(F31=U31, 3, 0))</f>
        <v/>
      </c>
      <c r="Y31" s="16">
        <f>IF(OR(ISBLANK(G31), ISBLANK(V31)), 0, IF(G31=V31, 3, 0))</f>
        <v/>
      </c>
      <c r="Z31" s="5">
        <f>SUM(W31:Y31)</f>
        <v/>
      </c>
      <c r="AA31" s="12" t="n"/>
      <c r="AB31" s="12" t="n"/>
      <c r="AC31" s="12">
        <f>IF(OR(ISBLANK(F31), ISBLANK(G31)), 0, IF(AND(F31=AA31, G31=AB31), 25, IF(AND(SIGN(F31-G31)=SIGN(AA31-AB31), OR(AND(F31&gt;G31, F31=AA31), AND(G31&gt;F31, G31=AB31))), 18, IF(SIGN(F31-G31)=SIGN(AA31-AB31), 12, IF(OR(F31=AA31, G31=AB31), 5, 0)))))</f>
        <v/>
      </c>
      <c r="AD31" s="16">
        <f>IF(OR(ISBLANK(F31), ISBLANK(AA31)), 0, IF(F31=AA31, 3, 0))</f>
        <v/>
      </c>
      <c r="AE31" s="16">
        <f>IF(OR(ISBLANK(G31), ISBLANK(AB31)), 0, IF(G31=AB31, 3, 0))</f>
        <v/>
      </c>
      <c r="AF31" s="5">
        <f>SUM(AC31:AE31)</f>
        <v/>
      </c>
      <c r="AG31" s="12" t="n"/>
      <c r="AH31" s="12" t="n"/>
      <c r="AI31" s="12">
        <f>IF(OR(ISBLANK(F31), ISBLANK(G31)), 0, IF(AND(F31=AG31, G31=AH31), 25, IF(AND(SIGN(F31-G31)=SIGN(AG31-AH31), OR(AND(F31&gt;G31, F31=AG31), AND(G31&gt;F31, G31=AH31))), 18, IF(SIGN(F31-G31)=SIGN(AG31-AH31), 12, IF(OR(F31=AG31, G31=AH31), 5, 0)))))</f>
        <v/>
      </c>
      <c r="AJ31" s="16">
        <f>IF(OR(ISBLANK(F31), ISBLANK(AG31)), 0, IF(F31=AG31, 3, 0))</f>
        <v/>
      </c>
      <c r="AK31" s="16">
        <f>IF(OR(ISBLANK(G31), ISBLANK(AH31)), 0, IF(G31=AH31, 3, 0))</f>
        <v/>
      </c>
      <c r="AL31" s="5">
        <f>SUM(AI31:AK31)</f>
        <v/>
      </c>
    </row>
    <row r="32">
      <c r="A32" s="12" t="n">
        <v>30</v>
      </c>
      <c r="B32" s="12" t="inlineStr">
        <is>
          <t>13/06/2026</t>
        </is>
      </c>
      <c r="C32" s="12" t="inlineStr">
        <is>
          <t>13:00</t>
        </is>
      </c>
      <c r="D32" s="13" t="inlineStr">
        <is>
          <t>Grupo F</t>
        </is>
      </c>
      <c r="E32" s="14" t="inlineStr">
        <is>
          <t>Holanda</t>
        </is>
      </c>
      <c r="F32" s="15" t="inlineStr"/>
      <c r="G32" s="15" t="inlineStr"/>
      <c r="H32" s="13" t="inlineStr">
        <is>
          <t>Tunísia</t>
        </is>
      </c>
      <c r="I32" s="12" t="n"/>
      <c r="J32" s="12" t="n"/>
      <c r="K32" s="12">
        <f>IF(OR(ISBLANK(F32), ISBLANK(G32)), 0, IF(AND(F32=I32, G32=J32), 25, IF(AND(SIGN(F32-G32)=SIGN(I32-J32), OR(AND(F32&gt;G32, F32=I32), AND(G32&gt;F32, G32=J32))), 18, IF(SIGN(F32-G32)=SIGN(I32-J32), 12, IF(OR(F32=I32, G32=J32), 5, 0)))))</f>
        <v/>
      </c>
      <c r="L32" s="16">
        <f>IF(OR(ISBLANK(F32), ISBLANK(I32)), 0, IF(F32=I32, 3, 0))</f>
        <v/>
      </c>
      <c r="M32" s="16">
        <f>IF(OR(ISBLANK(G32), ISBLANK(J32)), 0, IF(G32=J32, 3, 0))</f>
        <v/>
      </c>
      <c r="N32" s="5">
        <f>SUM(K32:M32)</f>
        <v/>
      </c>
      <c r="O32" s="12" t="n"/>
      <c r="P32" s="12" t="n"/>
      <c r="Q32" s="12">
        <f>IF(OR(ISBLANK(F32), ISBLANK(G32)), 0, IF(AND(F32=O32, G32=P32), 25, IF(AND(SIGN(F32-G32)=SIGN(O32-P32), OR(AND(F32&gt;G32, F32=O32), AND(G32&gt;F32, G32=P32))), 18, IF(SIGN(F32-G32)=SIGN(O32-P32), 12, IF(OR(F32=O32, G32=P32), 5, 0)))))</f>
        <v/>
      </c>
      <c r="R32" s="16">
        <f>IF(OR(ISBLANK(F32), ISBLANK(O32)), 0, IF(F32=O32, 3, 0))</f>
        <v/>
      </c>
      <c r="S32" s="16">
        <f>IF(OR(ISBLANK(G32), ISBLANK(P32)), 0, IF(G32=P32, 3, 0))</f>
        <v/>
      </c>
      <c r="T32" s="5">
        <f>SUM(Q32:S32)</f>
        <v/>
      </c>
      <c r="U32" s="12" t="n"/>
      <c r="V32" s="12" t="n"/>
      <c r="W32" s="12">
        <f>IF(OR(ISBLANK(F32), ISBLANK(G32)), 0, IF(AND(F32=U32, G32=V32), 25, IF(AND(SIGN(F32-G32)=SIGN(U32-V32), OR(AND(F32&gt;G32, F32=U32), AND(G32&gt;F32, G32=V32))), 18, IF(SIGN(F32-G32)=SIGN(U32-V32), 12, IF(OR(F32=U32, G32=V32), 5, 0)))))</f>
        <v/>
      </c>
      <c r="X32" s="16">
        <f>IF(OR(ISBLANK(F32), ISBLANK(U32)), 0, IF(F32=U32, 3, 0))</f>
        <v/>
      </c>
      <c r="Y32" s="16">
        <f>IF(OR(ISBLANK(G32), ISBLANK(V32)), 0, IF(G32=V32, 3, 0))</f>
        <v/>
      </c>
      <c r="Z32" s="5">
        <f>SUM(W32:Y32)</f>
        <v/>
      </c>
      <c r="AA32" s="12" t="n"/>
      <c r="AB32" s="12" t="n"/>
      <c r="AC32" s="12">
        <f>IF(OR(ISBLANK(F32), ISBLANK(G32)), 0, IF(AND(F32=AA32, G32=AB32), 25, IF(AND(SIGN(F32-G32)=SIGN(AA32-AB32), OR(AND(F32&gt;G32, F32=AA32), AND(G32&gt;F32, G32=AB32))), 18, IF(SIGN(F32-G32)=SIGN(AA32-AB32), 12, IF(OR(F32=AA32, G32=AB32), 5, 0)))))</f>
        <v/>
      </c>
      <c r="AD32" s="16">
        <f>IF(OR(ISBLANK(F32), ISBLANK(AA32)), 0, IF(F32=AA32, 3, 0))</f>
        <v/>
      </c>
      <c r="AE32" s="16">
        <f>IF(OR(ISBLANK(G32), ISBLANK(AB32)), 0, IF(G32=AB32, 3, 0))</f>
        <v/>
      </c>
      <c r="AF32" s="5">
        <f>SUM(AC32:AE32)</f>
        <v/>
      </c>
      <c r="AG32" s="12" t="n"/>
      <c r="AH32" s="12" t="n"/>
      <c r="AI32" s="12">
        <f>IF(OR(ISBLANK(F32), ISBLANK(G32)), 0, IF(AND(F32=AG32, G32=AH32), 25, IF(AND(SIGN(F32-G32)=SIGN(AG32-AH32), OR(AND(F32&gt;G32, F32=AG32), AND(G32&gt;F32, G32=AH32))), 18, IF(SIGN(F32-G32)=SIGN(AG32-AH32), 12, IF(OR(F32=AG32, G32=AH32), 5, 0)))))</f>
        <v/>
      </c>
      <c r="AJ32" s="16">
        <f>IF(OR(ISBLANK(F32), ISBLANK(AG32)), 0, IF(F32=AG32, 3, 0))</f>
        <v/>
      </c>
      <c r="AK32" s="16">
        <f>IF(OR(ISBLANK(G32), ISBLANK(AH32)), 0, IF(G32=AH32, 3, 0))</f>
        <v/>
      </c>
      <c r="AL32" s="5">
        <f>SUM(AI32:AK32)</f>
        <v/>
      </c>
    </row>
    <row r="33">
      <c r="A33" s="12" t="n">
        <v>31</v>
      </c>
      <c r="B33" s="12" t="inlineStr">
        <is>
          <t>13/06/2026</t>
        </is>
      </c>
      <c r="C33" s="12" t="inlineStr">
        <is>
          <t>16:00</t>
        </is>
      </c>
      <c r="D33" s="13" t="inlineStr">
        <is>
          <t>Grupo G</t>
        </is>
      </c>
      <c r="E33" s="14" t="inlineStr">
        <is>
          <t>Croácia</t>
        </is>
      </c>
      <c r="F33" s="15" t="inlineStr"/>
      <c r="G33" s="15" t="inlineStr"/>
      <c r="H33" s="13" t="inlineStr">
        <is>
          <t>Irã</t>
        </is>
      </c>
      <c r="I33" s="12" t="n"/>
      <c r="J33" s="12" t="n"/>
      <c r="K33" s="12">
        <f>IF(OR(ISBLANK(F33), ISBLANK(G33)), 0, IF(AND(F33=I33, G33=J33), 25, IF(AND(SIGN(F33-G33)=SIGN(I33-J33), OR(AND(F33&gt;G33, F33=I33), AND(G33&gt;F33, G33=J33))), 18, IF(SIGN(F33-G33)=SIGN(I33-J33), 12, IF(OR(F33=I33, G33=J33), 5, 0)))))</f>
        <v/>
      </c>
      <c r="L33" s="16">
        <f>IF(OR(ISBLANK(F33), ISBLANK(I33)), 0, IF(F33=I33, 3, 0))</f>
        <v/>
      </c>
      <c r="M33" s="16">
        <f>IF(OR(ISBLANK(G33), ISBLANK(J33)), 0, IF(G33=J33, 3, 0))</f>
        <v/>
      </c>
      <c r="N33" s="5">
        <f>SUM(K33:M33)</f>
        <v/>
      </c>
      <c r="O33" s="12" t="n"/>
      <c r="P33" s="12" t="n"/>
      <c r="Q33" s="12">
        <f>IF(OR(ISBLANK(F33), ISBLANK(G33)), 0, IF(AND(F33=O33, G33=P33), 25, IF(AND(SIGN(F33-G33)=SIGN(O33-P33), OR(AND(F33&gt;G33, F33=O33), AND(G33&gt;F33, G33=P33))), 18, IF(SIGN(F33-G33)=SIGN(O33-P33), 12, IF(OR(F33=O33, G33=P33), 5, 0)))))</f>
        <v/>
      </c>
      <c r="R33" s="16">
        <f>IF(OR(ISBLANK(F33), ISBLANK(O33)), 0, IF(F33=O33, 3, 0))</f>
        <v/>
      </c>
      <c r="S33" s="16">
        <f>IF(OR(ISBLANK(G33), ISBLANK(P33)), 0, IF(G33=P33, 3, 0))</f>
        <v/>
      </c>
      <c r="T33" s="5">
        <f>SUM(Q33:S33)</f>
        <v/>
      </c>
      <c r="U33" s="12" t="n"/>
      <c r="V33" s="12" t="n"/>
      <c r="W33" s="12">
        <f>IF(OR(ISBLANK(F33), ISBLANK(G33)), 0, IF(AND(F33=U33, G33=V33), 25, IF(AND(SIGN(F33-G33)=SIGN(U33-V33), OR(AND(F33&gt;G33, F33=U33), AND(G33&gt;F33, G33=V33))), 18, IF(SIGN(F33-G33)=SIGN(U33-V33), 12, IF(OR(F33=U33, G33=V33), 5, 0)))))</f>
        <v/>
      </c>
      <c r="X33" s="16">
        <f>IF(OR(ISBLANK(F33), ISBLANK(U33)), 0, IF(F33=U33, 3, 0))</f>
        <v/>
      </c>
      <c r="Y33" s="16">
        <f>IF(OR(ISBLANK(G33), ISBLANK(V33)), 0, IF(G33=V33, 3, 0))</f>
        <v/>
      </c>
      <c r="Z33" s="5">
        <f>SUM(W33:Y33)</f>
        <v/>
      </c>
      <c r="AA33" s="12" t="n"/>
      <c r="AB33" s="12" t="n"/>
      <c r="AC33" s="12">
        <f>IF(OR(ISBLANK(F33), ISBLANK(G33)), 0, IF(AND(F33=AA33, G33=AB33), 25, IF(AND(SIGN(F33-G33)=SIGN(AA33-AB33), OR(AND(F33&gt;G33, F33=AA33), AND(G33&gt;F33, G33=AB33))), 18, IF(SIGN(F33-G33)=SIGN(AA33-AB33), 12, IF(OR(F33=AA33, G33=AB33), 5, 0)))))</f>
        <v/>
      </c>
      <c r="AD33" s="16">
        <f>IF(OR(ISBLANK(F33), ISBLANK(AA33)), 0, IF(F33=AA33, 3, 0))</f>
        <v/>
      </c>
      <c r="AE33" s="16">
        <f>IF(OR(ISBLANK(G33), ISBLANK(AB33)), 0, IF(G33=AB33, 3, 0))</f>
        <v/>
      </c>
      <c r="AF33" s="5">
        <f>SUM(AC33:AE33)</f>
        <v/>
      </c>
      <c r="AG33" s="12" t="n"/>
      <c r="AH33" s="12" t="n"/>
      <c r="AI33" s="12">
        <f>IF(OR(ISBLANK(F33), ISBLANK(G33)), 0, IF(AND(F33=AG33, G33=AH33), 25, IF(AND(SIGN(F33-G33)=SIGN(AG33-AH33), OR(AND(F33&gt;G33, F33=AG33), AND(G33&gt;F33, G33=AH33))), 18, IF(SIGN(F33-G33)=SIGN(AG33-AH33), 12, IF(OR(F33=AG33, G33=AH33), 5, 0)))))</f>
        <v/>
      </c>
      <c r="AJ33" s="16">
        <f>IF(OR(ISBLANK(F33), ISBLANK(AG33)), 0, IF(F33=AG33, 3, 0))</f>
        <v/>
      </c>
      <c r="AK33" s="16">
        <f>IF(OR(ISBLANK(G33), ISBLANK(AH33)), 0, IF(G33=AH33, 3, 0))</f>
        <v/>
      </c>
      <c r="AL33" s="5">
        <f>SUM(AI33:AK33)</f>
        <v/>
      </c>
    </row>
    <row r="34">
      <c r="A34" s="12" t="n">
        <v>32</v>
      </c>
      <c r="B34" s="12" t="inlineStr">
        <is>
          <t>13/06/2026</t>
        </is>
      </c>
      <c r="C34" s="12" t="inlineStr">
        <is>
          <t>13:00</t>
        </is>
      </c>
      <c r="D34" s="13" t="inlineStr">
        <is>
          <t>Grupo H</t>
        </is>
      </c>
      <c r="E34" s="14" t="inlineStr">
        <is>
          <t>Senegal</t>
        </is>
      </c>
      <c r="F34" s="15" t="inlineStr"/>
      <c r="G34" s="15" t="inlineStr"/>
      <c r="H34" s="13" t="inlineStr">
        <is>
          <t>Peru</t>
        </is>
      </c>
      <c r="I34" s="12" t="n"/>
      <c r="J34" s="12" t="n"/>
      <c r="K34" s="12">
        <f>IF(OR(ISBLANK(F34), ISBLANK(G34)), 0, IF(AND(F34=I34, G34=J34), 25, IF(AND(SIGN(F34-G34)=SIGN(I34-J34), OR(AND(F34&gt;G34, F34=I34), AND(G34&gt;F34, G34=J34))), 18, IF(SIGN(F34-G34)=SIGN(I34-J34), 12, IF(OR(F34=I34, G34=J34), 5, 0)))))</f>
        <v/>
      </c>
      <c r="L34" s="16">
        <f>IF(OR(ISBLANK(F34), ISBLANK(I34)), 0, IF(F34=I34, 3, 0))</f>
        <v/>
      </c>
      <c r="M34" s="16">
        <f>IF(OR(ISBLANK(G34), ISBLANK(J34)), 0, IF(G34=J34, 3, 0))</f>
        <v/>
      </c>
      <c r="N34" s="5">
        <f>SUM(K34:M34)</f>
        <v/>
      </c>
      <c r="O34" s="12" t="n"/>
      <c r="P34" s="12" t="n"/>
      <c r="Q34" s="12">
        <f>IF(OR(ISBLANK(F34), ISBLANK(G34)), 0, IF(AND(F34=O34, G34=P34), 25, IF(AND(SIGN(F34-G34)=SIGN(O34-P34), OR(AND(F34&gt;G34, F34=O34), AND(G34&gt;F34, G34=P34))), 18, IF(SIGN(F34-G34)=SIGN(O34-P34), 12, IF(OR(F34=O34, G34=P34), 5, 0)))))</f>
        <v/>
      </c>
      <c r="R34" s="16">
        <f>IF(OR(ISBLANK(F34), ISBLANK(O34)), 0, IF(F34=O34, 3, 0))</f>
        <v/>
      </c>
      <c r="S34" s="16">
        <f>IF(OR(ISBLANK(G34), ISBLANK(P34)), 0, IF(G34=P34, 3, 0))</f>
        <v/>
      </c>
      <c r="T34" s="5">
        <f>SUM(Q34:S34)</f>
        <v/>
      </c>
      <c r="U34" s="12" t="n"/>
      <c r="V34" s="12" t="n"/>
      <c r="W34" s="12">
        <f>IF(OR(ISBLANK(F34), ISBLANK(G34)), 0, IF(AND(F34=U34, G34=V34), 25, IF(AND(SIGN(F34-G34)=SIGN(U34-V34), OR(AND(F34&gt;G34, F34=U34), AND(G34&gt;F34, G34=V34))), 18, IF(SIGN(F34-G34)=SIGN(U34-V34), 12, IF(OR(F34=U34, G34=V34), 5, 0)))))</f>
        <v/>
      </c>
      <c r="X34" s="16">
        <f>IF(OR(ISBLANK(F34), ISBLANK(U34)), 0, IF(F34=U34, 3, 0))</f>
        <v/>
      </c>
      <c r="Y34" s="16">
        <f>IF(OR(ISBLANK(G34), ISBLANK(V34)), 0, IF(G34=V34, 3, 0))</f>
        <v/>
      </c>
      <c r="Z34" s="5">
        <f>SUM(W34:Y34)</f>
        <v/>
      </c>
      <c r="AA34" s="12" t="n"/>
      <c r="AB34" s="12" t="n"/>
      <c r="AC34" s="12">
        <f>IF(OR(ISBLANK(F34), ISBLANK(G34)), 0, IF(AND(F34=AA34, G34=AB34), 25, IF(AND(SIGN(F34-G34)=SIGN(AA34-AB34), OR(AND(F34&gt;G34, F34=AA34), AND(G34&gt;F34, G34=AB34))), 18, IF(SIGN(F34-G34)=SIGN(AA34-AB34), 12, IF(OR(F34=AA34, G34=AB34), 5, 0)))))</f>
        <v/>
      </c>
      <c r="AD34" s="16">
        <f>IF(OR(ISBLANK(F34), ISBLANK(AA34)), 0, IF(F34=AA34, 3, 0))</f>
        <v/>
      </c>
      <c r="AE34" s="16">
        <f>IF(OR(ISBLANK(G34), ISBLANK(AB34)), 0, IF(G34=AB34, 3, 0))</f>
        <v/>
      </c>
      <c r="AF34" s="5">
        <f>SUM(AC34:AE34)</f>
        <v/>
      </c>
      <c r="AG34" s="12" t="n"/>
      <c r="AH34" s="12" t="n"/>
      <c r="AI34" s="12">
        <f>IF(OR(ISBLANK(F34), ISBLANK(G34)), 0, IF(AND(F34=AG34, G34=AH34), 25, IF(AND(SIGN(F34-G34)=SIGN(AG34-AH34), OR(AND(F34&gt;G34, F34=AG34), AND(G34&gt;F34, G34=AH34))), 18, IF(SIGN(F34-G34)=SIGN(AG34-AH34), 12, IF(OR(F34=AG34, G34=AH34), 5, 0)))))</f>
        <v/>
      </c>
      <c r="AJ34" s="16">
        <f>IF(OR(ISBLANK(F34), ISBLANK(AG34)), 0, IF(F34=AG34, 3, 0))</f>
        <v/>
      </c>
      <c r="AK34" s="16">
        <f>IF(OR(ISBLANK(G34), ISBLANK(AH34)), 0, IF(G34=AH34, 3, 0))</f>
        <v/>
      </c>
      <c r="AL34" s="5">
        <f>SUM(AI34:AK34)</f>
        <v/>
      </c>
    </row>
    <row r="35">
      <c r="A35" s="12" t="n">
        <v>33</v>
      </c>
      <c r="B35" s="12" t="inlineStr">
        <is>
          <t>13/06/2026</t>
        </is>
      </c>
      <c r="C35" s="12" t="inlineStr">
        <is>
          <t>16:00</t>
        </is>
      </c>
      <c r="D35" s="13" t="inlineStr">
        <is>
          <t>Grupo I</t>
        </is>
      </c>
      <c r="E35" s="14" t="inlineStr">
        <is>
          <t>México</t>
        </is>
      </c>
      <c r="F35" s="15" t="inlineStr"/>
      <c r="G35" s="15" t="inlineStr"/>
      <c r="H35" s="13" t="inlineStr">
        <is>
          <t>Costa Rica</t>
        </is>
      </c>
      <c r="I35" s="12" t="n"/>
      <c r="J35" s="12" t="n"/>
      <c r="K35" s="12">
        <f>IF(OR(ISBLANK(F35), ISBLANK(G35)), 0, IF(AND(F35=I35, G35=J35), 25, IF(AND(SIGN(F35-G35)=SIGN(I35-J35), OR(AND(F35&gt;G35, F35=I35), AND(G35&gt;F35, G35=J35))), 18, IF(SIGN(F35-G35)=SIGN(I35-J35), 12, IF(OR(F35=I35, G35=J35), 5, 0)))))</f>
        <v/>
      </c>
      <c r="L35" s="16">
        <f>IF(OR(ISBLANK(F35), ISBLANK(I35)), 0, IF(F35=I35, 3, 0))</f>
        <v/>
      </c>
      <c r="M35" s="16">
        <f>IF(OR(ISBLANK(G35), ISBLANK(J35)), 0, IF(G35=J35, 3, 0))</f>
        <v/>
      </c>
      <c r="N35" s="5">
        <f>SUM(K35:M35)</f>
        <v/>
      </c>
      <c r="O35" s="12" t="n"/>
      <c r="P35" s="12" t="n"/>
      <c r="Q35" s="12">
        <f>IF(OR(ISBLANK(F35), ISBLANK(G35)), 0, IF(AND(F35=O35, G35=P35), 25, IF(AND(SIGN(F35-G35)=SIGN(O35-P35), OR(AND(F35&gt;G35, F35=O35), AND(G35&gt;F35, G35=P35))), 18, IF(SIGN(F35-G35)=SIGN(O35-P35), 12, IF(OR(F35=O35, G35=P35), 5, 0)))))</f>
        <v/>
      </c>
      <c r="R35" s="16">
        <f>IF(OR(ISBLANK(F35), ISBLANK(O35)), 0, IF(F35=O35, 3, 0))</f>
        <v/>
      </c>
      <c r="S35" s="16">
        <f>IF(OR(ISBLANK(G35), ISBLANK(P35)), 0, IF(G35=P35, 3, 0))</f>
        <v/>
      </c>
      <c r="T35" s="5">
        <f>SUM(Q35:S35)</f>
        <v/>
      </c>
      <c r="U35" s="12" t="n"/>
      <c r="V35" s="12" t="n"/>
      <c r="W35" s="12">
        <f>IF(OR(ISBLANK(F35), ISBLANK(G35)), 0, IF(AND(F35=U35, G35=V35), 25, IF(AND(SIGN(F35-G35)=SIGN(U35-V35), OR(AND(F35&gt;G35, F35=U35), AND(G35&gt;F35, G35=V35))), 18, IF(SIGN(F35-G35)=SIGN(U35-V35), 12, IF(OR(F35=U35, G35=V35), 5, 0)))))</f>
        <v/>
      </c>
      <c r="X35" s="16">
        <f>IF(OR(ISBLANK(F35), ISBLANK(U35)), 0, IF(F35=U35, 3, 0))</f>
        <v/>
      </c>
      <c r="Y35" s="16">
        <f>IF(OR(ISBLANK(G35), ISBLANK(V35)), 0, IF(G35=V35, 3, 0))</f>
        <v/>
      </c>
      <c r="Z35" s="5">
        <f>SUM(W35:Y35)</f>
        <v/>
      </c>
      <c r="AA35" s="12" t="n"/>
      <c r="AB35" s="12" t="n"/>
      <c r="AC35" s="12">
        <f>IF(OR(ISBLANK(F35), ISBLANK(G35)), 0, IF(AND(F35=AA35, G35=AB35), 25, IF(AND(SIGN(F35-G35)=SIGN(AA35-AB35), OR(AND(F35&gt;G35, F35=AA35), AND(G35&gt;F35, G35=AB35))), 18, IF(SIGN(F35-G35)=SIGN(AA35-AB35), 12, IF(OR(F35=AA35, G35=AB35), 5, 0)))))</f>
        <v/>
      </c>
      <c r="AD35" s="16">
        <f>IF(OR(ISBLANK(F35), ISBLANK(AA35)), 0, IF(F35=AA35, 3, 0))</f>
        <v/>
      </c>
      <c r="AE35" s="16">
        <f>IF(OR(ISBLANK(G35), ISBLANK(AB35)), 0, IF(G35=AB35, 3, 0))</f>
        <v/>
      </c>
      <c r="AF35" s="5">
        <f>SUM(AC35:AE35)</f>
        <v/>
      </c>
      <c r="AG35" s="12" t="n"/>
      <c r="AH35" s="12" t="n"/>
      <c r="AI35" s="12">
        <f>IF(OR(ISBLANK(F35), ISBLANK(G35)), 0, IF(AND(F35=AG35, G35=AH35), 25, IF(AND(SIGN(F35-G35)=SIGN(AG35-AH35), OR(AND(F35&gt;G35, F35=AG35), AND(G35&gt;F35, G35=AH35))), 18, IF(SIGN(F35-G35)=SIGN(AG35-AH35), 12, IF(OR(F35=AG35, G35=AH35), 5, 0)))))</f>
        <v/>
      </c>
      <c r="AJ35" s="16">
        <f>IF(OR(ISBLANK(F35), ISBLANK(AG35)), 0, IF(F35=AG35, 3, 0))</f>
        <v/>
      </c>
      <c r="AK35" s="16">
        <f>IF(OR(ISBLANK(G35), ISBLANK(AH35)), 0, IF(G35=AH35, 3, 0))</f>
        <v/>
      </c>
      <c r="AL35" s="5">
        <f>SUM(AI35:AK35)</f>
        <v/>
      </c>
    </row>
    <row r="36">
      <c r="A36" s="12" t="n">
        <v>34</v>
      </c>
      <c r="B36" s="12" t="inlineStr">
        <is>
          <t>13/06/2026</t>
        </is>
      </c>
      <c r="C36" s="12" t="inlineStr">
        <is>
          <t>13:00</t>
        </is>
      </c>
      <c r="D36" s="13" t="inlineStr">
        <is>
          <t>Grupo J</t>
        </is>
      </c>
      <c r="E36" s="14" t="inlineStr">
        <is>
          <t>Brasil</t>
        </is>
      </c>
      <c r="F36" s="15" t="inlineStr"/>
      <c r="G36" s="15" t="inlineStr"/>
      <c r="H36" s="13" t="inlineStr">
        <is>
          <t>Marrocos</t>
        </is>
      </c>
      <c r="I36" s="12" t="n"/>
      <c r="J36" s="12" t="n"/>
      <c r="K36" s="12">
        <f>IF(OR(ISBLANK(F36), ISBLANK(G36)), 0, IF(AND(F36=I36, G36=J36), 25, IF(AND(SIGN(F36-G36)=SIGN(I36-J36), OR(AND(F36&gt;G36, F36=I36), AND(G36&gt;F36, G36=J36))), 18, IF(SIGN(F36-G36)=SIGN(I36-J36), 12, IF(OR(F36=I36, G36=J36), 5, 0)))))</f>
        <v/>
      </c>
      <c r="L36" s="16">
        <f>IF(OR(ISBLANK(F36), ISBLANK(I36)), 0, IF(F36=I36, 3, 0))</f>
        <v/>
      </c>
      <c r="M36" s="16">
        <f>IF(OR(ISBLANK(G36), ISBLANK(J36)), 0, IF(G36=J36, 3, 0))</f>
        <v/>
      </c>
      <c r="N36" s="5">
        <f>SUM(K36:M36)</f>
        <v/>
      </c>
      <c r="O36" s="12" t="n"/>
      <c r="P36" s="12" t="n"/>
      <c r="Q36" s="12">
        <f>IF(OR(ISBLANK(F36), ISBLANK(G36)), 0, IF(AND(F36=O36, G36=P36), 25, IF(AND(SIGN(F36-G36)=SIGN(O36-P36), OR(AND(F36&gt;G36, F36=O36), AND(G36&gt;F36, G36=P36))), 18, IF(SIGN(F36-G36)=SIGN(O36-P36), 12, IF(OR(F36=O36, G36=P36), 5, 0)))))</f>
        <v/>
      </c>
      <c r="R36" s="16">
        <f>IF(OR(ISBLANK(F36), ISBLANK(O36)), 0, IF(F36=O36, 3, 0))</f>
        <v/>
      </c>
      <c r="S36" s="16">
        <f>IF(OR(ISBLANK(G36), ISBLANK(P36)), 0, IF(G36=P36, 3, 0))</f>
        <v/>
      </c>
      <c r="T36" s="5">
        <f>SUM(Q36:S36)</f>
        <v/>
      </c>
      <c r="U36" s="12" t="n"/>
      <c r="V36" s="12" t="n"/>
      <c r="W36" s="12">
        <f>IF(OR(ISBLANK(F36), ISBLANK(G36)), 0, IF(AND(F36=U36, G36=V36), 25, IF(AND(SIGN(F36-G36)=SIGN(U36-V36), OR(AND(F36&gt;G36, F36=U36), AND(G36&gt;F36, G36=V36))), 18, IF(SIGN(F36-G36)=SIGN(U36-V36), 12, IF(OR(F36=U36, G36=V36), 5, 0)))))</f>
        <v/>
      </c>
      <c r="X36" s="16">
        <f>IF(OR(ISBLANK(F36), ISBLANK(U36)), 0, IF(F36=U36, 3, 0))</f>
        <v/>
      </c>
      <c r="Y36" s="16">
        <f>IF(OR(ISBLANK(G36), ISBLANK(V36)), 0, IF(G36=V36, 3, 0))</f>
        <v/>
      </c>
      <c r="Z36" s="5">
        <f>SUM(W36:Y36)</f>
        <v/>
      </c>
      <c r="AA36" s="12" t="n"/>
      <c r="AB36" s="12" t="n"/>
      <c r="AC36" s="12">
        <f>IF(OR(ISBLANK(F36), ISBLANK(G36)), 0, IF(AND(F36=AA36, G36=AB36), 25, IF(AND(SIGN(F36-G36)=SIGN(AA36-AB36), OR(AND(F36&gt;G36, F36=AA36), AND(G36&gt;F36, G36=AB36))), 18, IF(SIGN(F36-G36)=SIGN(AA36-AB36), 12, IF(OR(F36=AA36, G36=AB36), 5, 0)))))</f>
        <v/>
      </c>
      <c r="AD36" s="16">
        <f>IF(OR(ISBLANK(F36), ISBLANK(AA36)), 0, IF(F36=AA36, 3, 0))</f>
        <v/>
      </c>
      <c r="AE36" s="16">
        <f>IF(OR(ISBLANK(G36), ISBLANK(AB36)), 0, IF(G36=AB36, 3, 0))</f>
        <v/>
      </c>
      <c r="AF36" s="5">
        <f>SUM(AC36:AE36)</f>
        <v/>
      </c>
      <c r="AG36" s="12" t="n"/>
      <c r="AH36" s="12" t="n"/>
      <c r="AI36" s="12">
        <f>IF(OR(ISBLANK(F36), ISBLANK(G36)), 0, IF(AND(F36=AG36, G36=AH36), 25, IF(AND(SIGN(F36-G36)=SIGN(AG36-AH36), OR(AND(F36&gt;G36, F36=AG36), AND(G36&gt;F36, G36=AH36))), 18, IF(SIGN(F36-G36)=SIGN(AG36-AH36), 12, IF(OR(F36=AG36, G36=AH36), 5, 0)))))</f>
        <v/>
      </c>
      <c r="AJ36" s="16">
        <f>IF(OR(ISBLANK(F36), ISBLANK(AG36)), 0, IF(F36=AG36, 3, 0))</f>
        <v/>
      </c>
      <c r="AK36" s="16">
        <f>IF(OR(ISBLANK(G36), ISBLANK(AH36)), 0, IF(G36=AH36, 3, 0))</f>
        <v/>
      </c>
      <c r="AL36" s="5">
        <f>SUM(AI36:AK36)</f>
        <v/>
      </c>
    </row>
    <row r="37">
      <c r="A37" s="12" t="n">
        <v>35</v>
      </c>
      <c r="B37" s="12" t="inlineStr">
        <is>
          <t>13/06/2026</t>
        </is>
      </c>
      <c r="C37" s="12" t="inlineStr">
        <is>
          <t>16:00</t>
        </is>
      </c>
      <c r="D37" s="13" t="inlineStr">
        <is>
          <t>Grupo K</t>
        </is>
      </c>
      <c r="E37" s="14" t="inlineStr">
        <is>
          <t>Argentina</t>
        </is>
      </c>
      <c r="F37" s="15" t="inlineStr"/>
      <c r="G37" s="15" t="inlineStr"/>
      <c r="H37" s="13" t="inlineStr">
        <is>
          <t>Itália</t>
        </is>
      </c>
      <c r="I37" s="12" t="n"/>
      <c r="J37" s="12" t="n"/>
      <c r="K37" s="12">
        <f>IF(OR(ISBLANK(F37), ISBLANK(G37)), 0, IF(AND(F37=I37, G37=J37), 25, IF(AND(SIGN(F37-G37)=SIGN(I37-J37), OR(AND(F37&gt;G37, F37=I37), AND(G37&gt;F37, G37=J37))), 18, IF(SIGN(F37-G37)=SIGN(I37-J37), 12, IF(OR(F37=I37, G37=J37), 5, 0)))))</f>
        <v/>
      </c>
      <c r="L37" s="16">
        <f>IF(OR(ISBLANK(F37), ISBLANK(I37)), 0, IF(F37=I37, 3, 0))</f>
        <v/>
      </c>
      <c r="M37" s="16">
        <f>IF(OR(ISBLANK(G37), ISBLANK(J37)), 0, IF(G37=J37, 3, 0))</f>
        <v/>
      </c>
      <c r="N37" s="5">
        <f>SUM(K37:M37)</f>
        <v/>
      </c>
      <c r="O37" s="12" t="n"/>
      <c r="P37" s="12" t="n"/>
      <c r="Q37" s="12">
        <f>IF(OR(ISBLANK(F37), ISBLANK(G37)), 0, IF(AND(F37=O37, G37=P37), 25, IF(AND(SIGN(F37-G37)=SIGN(O37-P37), OR(AND(F37&gt;G37, F37=O37), AND(G37&gt;F37, G37=P37))), 18, IF(SIGN(F37-G37)=SIGN(O37-P37), 12, IF(OR(F37=O37, G37=P37), 5, 0)))))</f>
        <v/>
      </c>
      <c r="R37" s="16">
        <f>IF(OR(ISBLANK(F37), ISBLANK(O37)), 0, IF(F37=O37, 3, 0))</f>
        <v/>
      </c>
      <c r="S37" s="16">
        <f>IF(OR(ISBLANK(G37), ISBLANK(P37)), 0, IF(G37=P37, 3, 0))</f>
        <v/>
      </c>
      <c r="T37" s="5">
        <f>SUM(Q37:S37)</f>
        <v/>
      </c>
      <c r="U37" s="12" t="n"/>
      <c r="V37" s="12" t="n"/>
      <c r="W37" s="12">
        <f>IF(OR(ISBLANK(F37), ISBLANK(G37)), 0, IF(AND(F37=U37, G37=V37), 25, IF(AND(SIGN(F37-G37)=SIGN(U37-V37), OR(AND(F37&gt;G37, F37=U37), AND(G37&gt;F37, G37=V37))), 18, IF(SIGN(F37-G37)=SIGN(U37-V37), 12, IF(OR(F37=U37, G37=V37), 5, 0)))))</f>
        <v/>
      </c>
      <c r="X37" s="16">
        <f>IF(OR(ISBLANK(F37), ISBLANK(U37)), 0, IF(F37=U37, 3, 0))</f>
        <v/>
      </c>
      <c r="Y37" s="16">
        <f>IF(OR(ISBLANK(G37), ISBLANK(V37)), 0, IF(G37=V37, 3, 0))</f>
        <v/>
      </c>
      <c r="Z37" s="5">
        <f>SUM(W37:Y37)</f>
        <v/>
      </c>
      <c r="AA37" s="12" t="n"/>
      <c r="AB37" s="12" t="n"/>
      <c r="AC37" s="12">
        <f>IF(OR(ISBLANK(F37), ISBLANK(G37)), 0, IF(AND(F37=AA37, G37=AB37), 25, IF(AND(SIGN(F37-G37)=SIGN(AA37-AB37), OR(AND(F37&gt;G37, F37=AA37), AND(G37&gt;F37, G37=AB37))), 18, IF(SIGN(F37-G37)=SIGN(AA37-AB37), 12, IF(OR(F37=AA37, G37=AB37), 5, 0)))))</f>
        <v/>
      </c>
      <c r="AD37" s="16">
        <f>IF(OR(ISBLANK(F37), ISBLANK(AA37)), 0, IF(F37=AA37, 3, 0))</f>
        <v/>
      </c>
      <c r="AE37" s="16">
        <f>IF(OR(ISBLANK(G37), ISBLANK(AB37)), 0, IF(G37=AB37, 3, 0))</f>
        <v/>
      </c>
      <c r="AF37" s="5">
        <f>SUM(AC37:AE37)</f>
        <v/>
      </c>
      <c r="AG37" s="12" t="n"/>
      <c r="AH37" s="12" t="n"/>
      <c r="AI37" s="12">
        <f>IF(OR(ISBLANK(F37), ISBLANK(G37)), 0, IF(AND(F37=AG37, G37=AH37), 25, IF(AND(SIGN(F37-G37)=SIGN(AG37-AH37), OR(AND(F37&gt;G37, F37=AG37), AND(G37&gt;F37, G37=AH37))), 18, IF(SIGN(F37-G37)=SIGN(AG37-AH37), 12, IF(OR(F37=AG37, G37=AH37), 5, 0)))))</f>
        <v/>
      </c>
      <c r="AJ37" s="16">
        <f>IF(OR(ISBLANK(F37), ISBLANK(AG37)), 0, IF(F37=AG37, 3, 0))</f>
        <v/>
      </c>
      <c r="AK37" s="16">
        <f>IF(OR(ISBLANK(G37), ISBLANK(AH37)), 0, IF(G37=AH37, 3, 0))</f>
        <v/>
      </c>
      <c r="AL37" s="5">
        <f>SUM(AI37:AK37)</f>
        <v/>
      </c>
    </row>
    <row r="38">
      <c r="A38" s="12" t="n">
        <v>36</v>
      </c>
      <c r="B38" s="12" t="inlineStr">
        <is>
          <t>13/06/2026</t>
        </is>
      </c>
      <c r="C38" s="12" t="inlineStr">
        <is>
          <t>13:00</t>
        </is>
      </c>
      <c r="D38" s="13" t="inlineStr">
        <is>
          <t>Grupo L</t>
        </is>
      </c>
      <c r="E38" s="14" t="inlineStr">
        <is>
          <t>Alemanha</t>
        </is>
      </c>
      <c r="F38" s="15" t="inlineStr"/>
      <c r="G38" s="15" t="inlineStr"/>
      <c r="H38" s="13" t="inlineStr">
        <is>
          <t>Colômbia</t>
        </is>
      </c>
      <c r="I38" s="12" t="n"/>
      <c r="J38" s="12" t="n"/>
      <c r="K38" s="12">
        <f>IF(OR(ISBLANK(F38), ISBLANK(G38)), 0, IF(AND(F38=I38, G38=J38), 25, IF(AND(SIGN(F38-G38)=SIGN(I38-J38), OR(AND(F38&gt;G38, F38=I38), AND(G38&gt;F38, G38=J38))), 18, IF(SIGN(F38-G38)=SIGN(I38-J38), 12, IF(OR(F38=I38, G38=J38), 5, 0)))))</f>
        <v/>
      </c>
      <c r="L38" s="16">
        <f>IF(OR(ISBLANK(F38), ISBLANK(I38)), 0, IF(F38=I38, 3, 0))</f>
        <v/>
      </c>
      <c r="M38" s="16">
        <f>IF(OR(ISBLANK(G38), ISBLANK(J38)), 0, IF(G38=J38, 3, 0))</f>
        <v/>
      </c>
      <c r="N38" s="5">
        <f>SUM(K38:M38)</f>
        <v/>
      </c>
      <c r="O38" s="12" t="n"/>
      <c r="P38" s="12" t="n"/>
      <c r="Q38" s="12">
        <f>IF(OR(ISBLANK(F38), ISBLANK(G38)), 0, IF(AND(F38=O38, G38=P38), 25, IF(AND(SIGN(F38-G38)=SIGN(O38-P38), OR(AND(F38&gt;G38, F38=O38), AND(G38&gt;F38, G38=P38))), 18, IF(SIGN(F38-G38)=SIGN(O38-P38), 12, IF(OR(F38=O38, G38=P38), 5, 0)))))</f>
        <v/>
      </c>
      <c r="R38" s="16">
        <f>IF(OR(ISBLANK(F38), ISBLANK(O38)), 0, IF(F38=O38, 3, 0))</f>
        <v/>
      </c>
      <c r="S38" s="16">
        <f>IF(OR(ISBLANK(G38), ISBLANK(P38)), 0, IF(G38=P38, 3, 0))</f>
        <v/>
      </c>
      <c r="T38" s="5">
        <f>SUM(Q38:S38)</f>
        <v/>
      </c>
      <c r="U38" s="12" t="n"/>
      <c r="V38" s="12" t="n"/>
      <c r="W38" s="12">
        <f>IF(OR(ISBLANK(F38), ISBLANK(G38)), 0, IF(AND(F38=U38, G38=V38), 25, IF(AND(SIGN(F38-G38)=SIGN(U38-V38), OR(AND(F38&gt;G38, F38=U38), AND(G38&gt;F38, G38=V38))), 18, IF(SIGN(F38-G38)=SIGN(U38-V38), 12, IF(OR(F38=U38, G38=V38), 5, 0)))))</f>
        <v/>
      </c>
      <c r="X38" s="16">
        <f>IF(OR(ISBLANK(F38), ISBLANK(U38)), 0, IF(F38=U38, 3, 0))</f>
        <v/>
      </c>
      <c r="Y38" s="16">
        <f>IF(OR(ISBLANK(G38), ISBLANK(V38)), 0, IF(G38=V38, 3, 0))</f>
        <v/>
      </c>
      <c r="Z38" s="5">
        <f>SUM(W38:Y38)</f>
        <v/>
      </c>
      <c r="AA38" s="12" t="n"/>
      <c r="AB38" s="12" t="n"/>
      <c r="AC38" s="12">
        <f>IF(OR(ISBLANK(F38), ISBLANK(G38)), 0, IF(AND(F38=AA38, G38=AB38), 25, IF(AND(SIGN(F38-G38)=SIGN(AA38-AB38), OR(AND(F38&gt;G38, F38=AA38), AND(G38&gt;F38, G38=AB38))), 18, IF(SIGN(F38-G38)=SIGN(AA38-AB38), 12, IF(OR(F38=AA38, G38=AB38), 5, 0)))))</f>
        <v/>
      </c>
      <c r="AD38" s="16">
        <f>IF(OR(ISBLANK(F38), ISBLANK(AA38)), 0, IF(F38=AA38, 3, 0))</f>
        <v/>
      </c>
      <c r="AE38" s="16">
        <f>IF(OR(ISBLANK(G38), ISBLANK(AB38)), 0, IF(G38=AB38, 3, 0))</f>
        <v/>
      </c>
      <c r="AF38" s="5">
        <f>SUM(AC38:AE38)</f>
        <v/>
      </c>
      <c r="AG38" s="12" t="n"/>
      <c r="AH38" s="12" t="n"/>
      <c r="AI38" s="12">
        <f>IF(OR(ISBLANK(F38), ISBLANK(G38)), 0, IF(AND(F38=AG38, G38=AH38), 25, IF(AND(SIGN(F38-G38)=SIGN(AG38-AH38), OR(AND(F38&gt;G38, F38=AG38), AND(G38&gt;F38, G38=AH38))), 18, IF(SIGN(F38-G38)=SIGN(AG38-AH38), 12, IF(OR(F38=AG38, G38=AH38), 5, 0)))))</f>
        <v/>
      </c>
      <c r="AJ38" s="16">
        <f>IF(OR(ISBLANK(F38), ISBLANK(AG38)), 0, IF(F38=AG38, 3, 0))</f>
        <v/>
      </c>
      <c r="AK38" s="16">
        <f>IF(OR(ISBLANK(G38), ISBLANK(AH38)), 0, IF(G38=AH38, 3, 0))</f>
        <v/>
      </c>
      <c r="AL38" s="5">
        <f>SUM(AI38:AK38)</f>
        <v/>
      </c>
    </row>
    <row r="39">
      <c r="A39" s="12" t="n">
        <v>37</v>
      </c>
      <c r="B39" s="12" t="inlineStr">
        <is>
          <t>07/2026</t>
        </is>
      </c>
      <c r="C39" s="12" t="inlineStr">
        <is>
          <t>16:00</t>
        </is>
      </c>
      <c r="D39" s="13" t="inlineStr">
        <is>
          <t>Dezesseis-avos de Final</t>
        </is>
      </c>
      <c r="E39" s="14" t="inlineStr">
        <is>
          <t>Classificado 1</t>
        </is>
      </c>
      <c r="F39" s="15" t="inlineStr"/>
      <c r="G39" s="15" t="inlineStr"/>
      <c r="H39" s="13" t="inlineStr">
        <is>
          <t>Classificado 2</t>
        </is>
      </c>
      <c r="I39" s="12" t="n"/>
      <c r="J39" s="12" t="n"/>
      <c r="K39" s="12">
        <f>IF(OR(ISBLANK(F39), ISBLANK(G39)), 0, IF(AND(F39=I39, G39=J39), 25, IF(AND(SIGN(F39-G39)=SIGN(I39-J39), OR(AND(F39&gt;G39, F39=I39), AND(G39&gt;F39, G39=J39))), 18, IF(SIGN(F39-G39)=SIGN(I39-J39), 12, IF(OR(F39=I39, G39=J39), 5, 0)))))</f>
        <v/>
      </c>
      <c r="L39" s="16">
        <f>IF(OR(ISBLANK(F39), ISBLANK(I39)), 0, IF(F39=I39, 3, 0))</f>
        <v/>
      </c>
      <c r="M39" s="16">
        <f>IF(OR(ISBLANK(G39), ISBLANK(J39)), 0, IF(G39=J39, 3, 0))</f>
        <v/>
      </c>
      <c r="N39" s="5">
        <f>SUM(K39:M39)</f>
        <v/>
      </c>
      <c r="O39" s="12" t="n"/>
      <c r="P39" s="12" t="n"/>
      <c r="Q39" s="12">
        <f>IF(OR(ISBLANK(F39), ISBLANK(G39)), 0, IF(AND(F39=O39, G39=P39), 25, IF(AND(SIGN(F39-G39)=SIGN(O39-P39), OR(AND(F39&gt;G39, F39=O39), AND(G39&gt;F39, G39=P39))), 18, IF(SIGN(F39-G39)=SIGN(O39-P39), 12, IF(OR(F39=O39, G39=P39), 5, 0)))))</f>
        <v/>
      </c>
      <c r="R39" s="16">
        <f>IF(OR(ISBLANK(F39), ISBLANK(O39)), 0, IF(F39=O39, 3, 0))</f>
        <v/>
      </c>
      <c r="S39" s="16">
        <f>IF(OR(ISBLANK(G39), ISBLANK(P39)), 0, IF(G39=P39, 3, 0))</f>
        <v/>
      </c>
      <c r="T39" s="5">
        <f>SUM(Q39:S39)</f>
        <v/>
      </c>
      <c r="U39" s="12" t="n"/>
      <c r="V39" s="12" t="n"/>
      <c r="W39" s="12">
        <f>IF(OR(ISBLANK(F39), ISBLANK(G39)), 0, IF(AND(F39=U39, G39=V39), 25, IF(AND(SIGN(F39-G39)=SIGN(U39-V39), OR(AND(F39&gt;G39, F39=U39), AND(G39&gt;F39, G39=V39))), 18, IF(SIGN(F39-G39)=SIGN(U39-V39), 12, IF(OR(F39=U39, G39=V39), 5, 0)))))</f>
        <v/>
      </c>
      <c r="X39" s="16">
        <f>IF(OR(ISBLANK(F39), ISBLANK(U39)), 0, IF(F39=U39, 3, 0))</f>
        <v/>
      </c>
      <c r="Y39" s="16">
        <f>IF(OR(ISBLANK(G39), ISBLANK(V39)), 0, IF(G39=V39, 3, 0))</f>
        <v/>
      </c>
      <c r="Z39" s="5">
        <f>SUM(W39:Y39)</f>
        <v/>
      </c>
      <c r="AA39" s="12" t="n"/>
      <c r="AB39" s="12" t="n"/>
      <c r="AC39" s="12">
        <f>IF(OR(ISBLANK(F39), ISBLANK(G39)), 0, IF(AND(F39=AA39, G39=AB39), 25, IF(AND(SIGN(F39-G39)=SIGN(AA39-AB39), OR(AND(F39&gt;G39, F39=AA39), AND(G39&gt;F39, G39=AB39))), 18, IF(SIGN(F39-G39)=SIGN(AA39-AB39), 12, IF(OR(F39=AA39, G39=AB39), 5, 0)))))</f>
        <v/>
      </c>
      <c r="AD39" s="16">
        <f>IF(OR(ISBLANK(F39), ISBLANK(AA39)), 0, IF(F39=AA39, 3, 0))</f>
        <v/>
      </c>
      <c r="AE39" s="16">
        <f>IF(OR(ISBLANK(G39), ISBLANK(AB39)), 0, IF(G39=AB39, 3, 0))</f>
        <v/>
      </c>
      <c r="AF39" s="5">
        <f>SUM(AC39:AE39)</f>
        <v/>
      </c>
      <c r="AG39" s="12" t="n"/>
      <c r="AH39" s="12" t="n"/>
      <c r="AI39" s="12">
        <f>IF(OR(ISBLANK(F39), ISBLANK(G39)), 0, IF(AND(F39=AG39, G39=AH39), 25, IF(AND(SIGN(F39-G39)=SIGN(AG39-AH39), OR(AND(F39&gt;G39, F39=AG39), AND(G39&gt;F39, G39=AH39))), 18, IF(SIGN(F39-G39)=SIGN(AG39-AH39), 12, IF(OR(F39=AG39, G39=AH39), 5, 0)))))</f>
        <v/>
      </c>
      <c r="AJ39" s="16">
        <f>IF(OR(ISBLANK(F39), ISBLANK(AG39)), 0, IF(F39=AG39, 3, 0))</f>
        <v/>
      </c>
      <c r="AK39" s="16">
        <f>IF(OR(ISBLANK(G39), ISBLANK(AH39)), 0, IF(G39=AH39, 3, 0))</f>
        <v/>
      </c>
      <c r="AL39" s="5">
        <f>SUM(AI39:AK39)</f>
        <v/>
      </c>
    </row>
    <row r="40">
      <c r="A40" s="12" t="n">
        <v>38</v>
      </c>
      <c r="B40" s="12" t="inlineStr">
        <is>
          <t>07/2026</t>
        </is>
      </c>
      <c r="C40" s="12" t="inlineStr">
        <is>
          <t>16:00</t>
        </is>
      </c>
      <c r="D40" s="13" t="inlineStr">
        <is>
          <t>Dezesseis-avos de Final</t>
        </is>
      </c>
      <c r="E40" s="14" t="inlineStr">
        <is>
          <t>Classificado 3</t>
        </is>
      </c>
      <c r="F40" s="15" t="inlineStr"/>
      <c r="G40" s="15" t="inlineStr"/>
      <c r="H40" s="13" t="inlineStr">
        <is>
          <t>Classificado 4</t>
        </is>
      </c>
      <c r="I40" s="12" t="n"/>
      <c r="J40" s="12" t="n"/>
      <c r="K40" s="12">
        <f>IF(OR(ISBLANK(F40), ISBLANK(G40)), 0, IF(AND(F40=I40, G40=J40), 25, IF(AND(SIGN(F40-G40)=SIGN(I40-J40), OR(AND(F40&gt;G40, F40=I40), AND(G40&gt;F40, G40=J40))), 18, IF(SIGN(F40-G40)=SIGN(I40-J40), 12, IF(OR(F40=I40, G40=J40), 5, 0)))))</f>
        <v/>
      </c>
      <c r="L40" s="16">
        <f>IF(OR(ISBLANK(F40), ISBLANK(I40)), 0, IF(F40=I40, 3, 0))</f>
        <v/>
      </c>
      <c r="M40" s="16">
        <f>IF(OR(ISBLANK(G40), ISBLANK(J40)), 0, IF(G40=J40, 3, 0))</f>
        <v/>
      </c>
      <c r="N40" s="5">
        <f>SUM(K40:M40)</f>
        <v/>
      </c>
      <c r="O40" s="12" t="n"/>
      <c r="P40" s="12" t="n"/>
      <c r="Q40" s="12">
        <f>IF(OR(ISBLANK(F40), ISBLANK(G40)), 0, IF(AND(F40=O40, G40=P40), 25, IF(AND(SIGN(F40-G40)=SIGN(O40-P40), OR(AND(F40&gt;G40, F40=O40), AND(G40&gt;F40, G40=P40))), 18, IF(SIGN(F40-G40)=SIGN(O40-P40), 12, IF(OR(F40=O40, G40=P40), 5, 0)))))</f>
        <v/>
      </c>
      <c r="R40" s="16">
        <f>IF(OR(ISBLANK(F40), ISBLANK(O40)), 0, IF(F40=O40, 3, 0))</f>
        <v/>
      </c>
      <c r="S40" s="16">
        <f>IF(OR(ISBLANK(G40), ISBLANK(P40)), 0, IF(G40=P40, 3, 0))</f>
        <v/>
      </c>
      <c r="T40" s="5">
        <f>SUM(Q40:S40)</f>
        <v/>
      </c>
      <c r="U40" s="12" t="n"/>
      <c r="V40" s="12" t="n"/>
      <c r="W40" s="12">
        <f>IF(OR(ISBLANK(F40), ISBLANK(G40)), 0, IF(AND(F40=U40, G40=V40), 25, IF(AND(SIGN(F40-G40)=SIGN(U40-V40), OR(AND(F40&gt;G40, F40=U40), AND(G40&gt;F40, G40=V40))), 18, IF(SIGN(F40-G40)=SIGN(U40-V40), 12, IF(OR(F40=U40, G40=V40), 5, 0)))))</f>
        <v/>
      </c>
      <c r="X40" s="16">
        <f>IF(OR(ISBLANK(F40), ISBLANK(U40)), 0, IF(F40=U40, 3, 0))</f>
        <v/>
      </c>
      <c r="Y40" s="16">
        <f>IF(OR(ISBLANK(G40), ISBLANK(V40)), 0, IF(G40=V40, 3, 0))</f>
        <v/>
      </c>
      <c r="Z40" s="5">
        <f>SUM(W40:Y40)</f>
        <v/>
      </c>
      <c r="AA40" s="12" t="n"/>
      <c r="AB40" s="12" t="n"/>
      <c r="AC40" s="12">
        <f>IF(OR(ISBLANK(F40), ISBLANK(G40)), 0, IF(AND(F40=AA40, G40=AB40), 25, IF(AND(SIGN(F40-G40)=SIGN(AA40-AB40), OR(AND(F40&gt;G40, F40=AA40), AND(G40&gt;F40, G40=AB40))), 18, IF(SIGN(F40-G40)=SIGN(AA40-AB40), 12, IF(OR(F40=AA40, G40=AB40), 5, 0)))))</f>
        <v/>
      </c>
      <c r="AD40" s="16">
        <f>IF(OR(ISBLANK(F40), ISBLANK(AA40)), 0, IF(F40=AA40, 3, 0))</f>
        <v/>
      </c>
      <c r="AE40" s="16">
        <f>IF(OR(ISBLANK(G40), ISBLANK(AB40)), 0, IF(G40=AB40, 3, 0))</f>
        <v/>
      </c>
      <c r="AF40" s="5">
        <f>SUM(AC40:AE40)</f>
        <v/>
      </c>
      <c r="AG40" s="12" t="n"/>
      <c r="AH40" s="12" t="n"/>
      <c r="AI40" s="12">
        <f>IF(OR(ISBLANK(F40), ISBLANK(G40)), 0, IF(AND(F40=AG40, G40=AH40), 25, IF(AND(SIGN(F40-G40)=SIGN(AG40-AH40), OR(AND(F40&gt;G40, F40=AG40), AND(G40&gt;F40, G40=AH40))), 18, IF(SIGN(F40-G40)=SIGN(AG40-AH40), 12, IF(OR(F40=AG40, G40=AH40), 5, 0)))))</f>
        <v/>
      </c>
      <c r="AJ40" s="16">
        <f>IF(OR(ISBLANK(F40), ISBLANK(AG40)), 0, IF(F40=AG40, 3, 0))</f>
        <v/>
      </c>
      <c r="AK40" s="16">
        <f>IF(OR(ISBLANK(G40), ISBLANK(AH40)), 0, IF(G40=AH40, 3, 0))</f>
        <v/>
      </c>
      <c r="AL40" s="5">
        <f>SUM(AI40:AK40)</f>
        <v/>
      </c>
    </row>
    <row r="41">
      <c r="A41" s="12" t="n">
        <v>39</v>
      </c>
      <c r="B41" s="12" t="inlineStr">
        <is>
          <t>07/2026</t>
        </is>
      </c>
      <c r="C41" s="12" t="inlineStr">
        <is>
          <t>16:00</t>
        </is>
      </c>
      <c r="D41" s="13" t="inlineStr">
        <is>
          <t>Dezesseis-avos de Final</t>
        </is>
      </c>
      <c r="E41" s="14" t="inlineStr">
        <is>
          <t>Classificado 5</t>
        </is>
      </c>
      <c r="F41" s="15" t="inlineStr"/>
      <c r="G41" s="15" t="inlineStr"/>
      <c r="H41" s="13" t="inlineStr">
        <is>
          <t>Classificado 6</t>
        </is>
      </c>
      <c r="I41" s="12" t="n"/>
      <c r="J41" s="12" t="n"/>
      <c r="K41" s="12">
        <f>IF(OR(ISBLANK(F41), ISBLANK(G41)), 0, IF(AND(F41=I41, G41=J41), 25, IF(AND(SIGN(F41-G41)=SIGN(I41-J41), OR(AND(F41&gt;G41, F41=I41), AND(G41&gt;F41, G41=J41))), 18, IF(SIGN(F41-G41)=SIGN(I41-J41), 12, IF(OR(F41=I41, G41=J41), 5, 0)))))</f>
        <v/>
      </c>
      <c r="L41" s="16">
        <f>IF(OR(ISBLANK(F41), ISBLANK(I41)), 0, IF(F41=I41, 3, 0))</f>
        <v/>
      </c>
      <c r="M41" s="16">
        <f>IF(OR(ISBLANK(G41), ISBLANK(J41)), 0, IF(G41=J41, 3, 0))</f>
        <v/>
      </c>
      <c r="N41" s="5">
        <f>SUM(K41:M41)</f>
        <v/>
      </c>
      <c r="O41" s="12" t="n"/>
      <c r="P41" s="12" t="n"/>
      <c r="Q41" s="12">
        <f>IF(OR(ISBLANK(F41), ISBLANK(G41)), 0, IF(AND(F41=O41, G41=P41), 25, IF(AND(SIGN(F41-G41)=SIGN(O41-P41), OR(AND(F41&gt;G41, F41=O41), AND(G41&gt;F41, G41=P41))), 18, IF(SIGN(F41-G41)=SIGN(O41-P41), 12, IF(OR(F41=O41, G41=P41), 5, 0)))))</f>
        <v/>
      </c>
      <c r="R41" s="16">
        <f>IF(OR(ISBLANK(F41), ISBLANK(O41)), 0, IF(F41=O41, 3, 0))</f>
        <v/>
      </c>
      <c r="S41" s="16">
        <f>IF(OR(ISBLANK(G41), ISBLANK(P41)), 0, IF(G41=P41, 3, 0))</f>
        <v/>
      </c>
      <c r="T41" s="5">
        <f>SUM(Q41:S41)</f>
        <v/>
      </c>
      <c r="U41" s="12" t="n"/>
      <c r="V41" s="12" t="n"/>
      <c r="W41" s="12">
        <f>IF(OR(ISBLANK(F41), ISBLANK(G41)), 0, IF(AND(F41=U41, G41=V41), 25, IF(AND(SIGN(F41-G41)=SIGN(U41-V41), OR(AND(F41&gt;G41, F41=U41), AND(G41&gt;F41, G41=V41))), 18, IF(SIGN(F41-G41)=SIGN(U41-V41), 12, IF(OR(F41=U41, G41=V41), 5, 0)))))</f>
        <v/>
      </c>
      <c r="X41" s="16">
        <f>IF(OR(ISBLANK(F41), ISBLANK(U41)), 0, IF(F41=U41, 3, 0))</f>
        <v/>
      </c>
      <c r="Y41" s="16">
        <f>IF(OR(ISBLANK(G41), ISBLANK(V41)), 0, IF(G41=V41, 3, 0))</f>
        <v/>
      </c>
      <c r="Z41" s="5">
        <f>SUM(W41:Y41)</f>
        <v/>
      </c>
      <c r="AA41" s="12" t="n"/>
      <c r="AB41" s="12" t="n"/>
      <c r="AC41" s="12">
        <f>IF(OR(ISBLANK(F41), ISBLANK(G41)), 0, IF(AND(F41=AA41, G41=AB41), 25, IF(AND(SIGN(F41-G41)=SIGN(AA41-AB41), OR(AND(F41&gt;G41, F41=AA41), AND(G41&gt;F41, G41=AB41))), 18, IF(SIGN(F41-G41)=SIGN(AA41-AB41), 12, IF(OR(F41=AA41, G41=AB41), 5, 0)))))</f>
        <v/>
      </c>
      <c r="AD41" s="16">
        <f>IF(OR(ISBLANK(F41), ISBLANK(AA41)), 0, IF(F41=AA41, 3, 0))</f>
        <v/>
      </c>
      <c r="AE41" s="16">
        <f>IF(OR(ISBLANK(G41), ISBLANK(AB41)), 0, IF(G41=AB41, 3, 0))</f>
        <v/>
      </c>
      <c r="AF41" s="5">
        <f>SUM(AC41:AE41)</f>
        <v/>
      </c>
      <c r="AG41" s="12" t="n"/>
      <c r="AH41" s="12" t="n"/>
      <c r="AI41" s="12">
        <f>IF(OR(ISBLANK(F41), ISBLANK(G41)), 0, IF(AND(F41=AG41, G41=AH41), 25, IF(AND(SIGN(F41-G41)=SIGN(AG41-AH41), OR(AND(F41&gt;G41, F41=AG41), AND(G41&gt;F41, G41=AH41))), 18, IF(SIGN(F41-G41)=SIGN(AG41-AH41), 12, IF(OR(F41=AG41, G41=AH41), 5, 0)))))</f>
        <v/>
      </c>
      <c r="AJ41" s="16">
        <f>IF(OR(ISBLANK(F41), ISBLANK(AG41)), 0, IF(F41=AG41, 3, 0))</f>
        <v/>
      </c>
      <c r="AK41" s="16">
        <f>IF(OR(ISBLANK(G41), ISBLANK(AH41)), 0, IF(G41=AH41, 3, 0))</f>
        <v/>
      </c>
      <c r="AL41" s="5">
        <f>SUM(AI41:AK41)</f>
        <v/>
      </c>
    </row>
    <row r="42">
      <c r="A42" s="12" t="n">
        <v>40</v>
      </c>
      <c r="B42" s="12" t="inlineStr">
        <is>
          <t>07/2026</t>
        </is>
      </c>
      <c r="C42" s="12" t="inlineStr">
        <is>
          <t>16:00</t>
        </is>
      </c>
      <c r="D42" s="13" t="inlineStr">
        <is>
          <t>Dezesseis-avos de Final</t>
        </is>
      </c>
      <c r="E42" s="14" t="inlineStr">
        <is>
          <t>Classificado 7</t>
        </is>
      </c>
      <c r="F42" s="15" t="inlineStr"/>
      <c r="G42" s="15" t="inlineStr"/>
      <c r="H42" s="13" t="inlineStr">
        <is>
          <t>Classificado 8</t>
        </is>
      </c>
      <c r="I42" s="12" t="n"/>
      <c r="J42" s="12" t="n"/>
      <c r="K42" s="12">
        <f>IF(OR(ISBLANK(F42), ISBLANK(G42)), 0, IF(AND(F42=I42, G42=J42), 25, IF(AND(SIGN(F42-G42)=SIGN(I42-J42), OR(AND(F42&gt;G42, F42=I42), AND(G42&gt;F42, G42=J42))), 18, IF(SIGN(F42-G42)=SIGN(I42-J42), 12, IF(OR(F42=I42, G42=J42), 5, 0)))))</f>
        <v/>
      </c>
      <c r="L42" s="16">
        <f>IF(OR(ISBLANK(F42), ISBLANK(I42)), 0, IF(F42=I42, 3, 0))</f>
        <v/>
      </c>
      <c r="M42" s="16">
        <f>IF(OR(ISBLANK(G42), ISBLANK(J42)), 0, IF(G42=J42, 3, 0))</f>
        <v/>
      </c>
      <c r="N42" s="5">
        <f>SUM(K42:M42)</f>
        <v/>
      </c>
      <c r="O42" s="12" t="n"/>
      <c r="P42" s="12" t="n"/>
      <c r="Q42" s="12">
        <f>IF(OR(ISBLANK(F42), ISBLANK(G42)), 0, IF(AND(F42=O42, G42=P42), 25, IF(AND(SIGN(F42-G42)=SIGN(O42-P42), OR(AND(F42&gt;G42, F42=O42), AND(G42&gt;F42, G42=P42))), 18, IF(SIGN(F42-G42)=SIGN(O42-P42), 12, IF(OR(F42=O42, G42=P42), 5, 0)))))</f>
        <v/>
      </c>
      <c r="R42" s="16">
        <f>IF(OR(ISBLANK(F42), ISBLANK(O42)), 0, IF(F42=O42, 3, 0))</f>
        <v/>
      </c>
      <c r="S42" s="16">
        <f>IF(OR(ISBLANK(G42), ISBLANK(P42)), 0, IF(G42=P42, 3, 0))</f>
        <v/>
      </c>
      <c r="T42" s="5">
        <f>SUM(Q42:S42)</f>
        <v/>
      </c>
      <c r="U42" s="12" t="n"/>
      <c r="V42" s="12" t="n"/>
      <c r="W42" s="12">
        <f>IF(OR(ISBLANK(F42), ISBLANK(G42)), 0, IF(AND(F42=U42, G42=V42), 25, IF(AND(SIGN(F42-G42)=SIGN(U42-V42), OR(AND(F42&gt;G42, F42=U42), AND(G42&gt;F42, G42=V42))), 18, IF(SIGN(F42-G42)=SIGN(U42-V42), 12, IF(OR(F42=U42, G42=V42), 5, 0)))))</f>
        <v/>
      </c>
      <c r="X42" s="16">
        <f>IF(OR(ISBLANK(F42), ISBLANK(U42)), 0, IF(F42=U42, 3, 0))</f>
        <v/>
      </c>
      <c r="Y42" s="16">
        <f>IF(OR(ISBLANK(G42), ISBLANK(V42)), 0, IF(G42=V42, 3, 0))</f>
        <v/>
      </c>
      <c r="Z42" s="5">
        <f>SUM(W42:Y42)</f>
        <v/>
      </c>
      <c r="AA42" s="12" t="n"/>
      <c r="AB42" s="12" t="n"/>
      <c r="AC42" s="12">
        <f>IF(OR(ISBLANK(F42), ISBLANK(G42)), 0, IF(AND(F42=AA42, G42=AB42), 25, IF(AND(SIGN(F42-G42)=SIGN(AA42-AB42), OR(AND(F42&gt;G42, F42=AA42), AND(G42&gt;F42, G42=AB42))), 18, IF(SIGN(F42-G42)=SIGN(AA42-AB42), 12, IF(OR(F42=AA42, G42=AB42), 5, 0)))))</f>
        <v/>
      </c>
      <c r="AD42" s="16">
        <f>IF(OR(ISBLANK(F42), ISBLANK(AA42)), 0, IF(F42=AA42, 3, 0))</f>
        <v/>
      </c>
      <c r="AE42" s="16">
        <f>IF(OR(ISBLANK(G42), ISBLANK(AB42)), 0, IF(G42=AB42, 3, 0))</f>
        <v/>
      </c>
      <c r="AF42" s="5">
        <f>SUM(AC42:AE42)</f>
        <v/>
      </c>
      <c r="AG42" s="12" t="n"/>
      <c r="AH42" s="12" t="n"/>
      <c r="AI42" s="12">
        <f>IF(OR(ISBLANK(F42), ISBLANK(G42)), 0, IF(AND(F42=AG42, G42=AH42), 25, IF(AND(SIGN(F42-G42)=SIGN(AG42-AH42), OR(AND(F42&gt;G42, F42=AG42), AND(G42&gt;F42, G42=AH42))), 18, IF(SIGN(F42-G42)=SIGN(AG42-AH42), 12, IF(OR(F42=AG42, G42=AH42), 5, 0)))))</f>
        <v/>
      </c>
      <c r="AJ42" s="16">
        <f>IF(OR(ISBLANK(F42), ISBLANK(AG42)), 0, IF(F42=AG42, 3, 0))</f>
        <v/>
      </c>
      <c r="AK42" s="16">
        <f>IF(OR(ISBLANK(G42), ISBLANK(AH42)), 0, IF(G42=AH42, 3, 0))</f>
        <v/>
      </c>
      <c r="AL42" s="5">
        <f>SUM(AI42:AK42)</f>
        <v/>
      </c>
    </row>
    <row r="43">
      <c r="A43" s="12" t="n">
        <v>41</v>
      </c>
      <c r="B43" s="12" t="inlineStr">
        <is>
          <t>07/2026</t>
        </is>
      </c>
      <c r="C43" s="12" t="inlineStr">
        <is>
          <t>16:00</t>
        </is>
      </c>
      <c r="D43" s="13" t="inlineStr">
        <is>
          <t>Dezesseis-avos de Final</t>
        </is>
      </c>
      <c r="E43" s="14" t="inlineStr">
        <is>
          <t>Classificado 9</t>
        </is>
      </c>
      <c r="F43" s="15" t="inlineStr"/>
      <c r="G43" s="15" t="inlineStr"/>
      <c r="H43" s="13" t="inlineStr">
        <is>
          <t>Classificado 10</t>
        </is>
      </c>
      <c r="I43" s="12" t="n"/>
      <c r="J43" s="12" t="n"/>
      <c r="K43" s="12">
        <f>IF(OR(ISBLANK(F43), ISBLANK(G43)), 0, IF(AND(F43=I43, G43=J43), 25, IF(AND(SIGN(F43-G43)=SIGN(I43-J43), OR(AND(F43&gt;G43, F43=I43), AND(G43&gt;F43, G43=J43))), 18, IF(SIGN(F43-G43)=SIGN(I43-J43), 12, IF(OR(F43=I43, G43=J43), 5, 0)))))</f>
        <v/>
      </c>
      <c r="L43" s="16">
        <f>IF(OR(ISBLANK(F43), ISBLANK(I43)), 0, IF(F43=I43, 3, 0))</f>
        <v/>
      </c>
      <c r="M43" s="16">
        <f>IF(OR(ISBLANK(G43), ISBLANK(J43)), 0, IF(G43=J43, 3, 0))</f>
        <v/>
      </c>
      <c r="N43" s="5">
        <f>SUM(K43:M43)</f>
        <v/>
      </c>
      <c r="O43" s="12" t="n"/>
      <c r="P43" s="12" t="n"/>
      <c r="Q43" s="12">
        <f>IF(OR(ISBLANK(F43), ISBLANK(G43)), 0, IF(AND(F43=O43, G43=P43), 25, IF(AND(SIGN(F43-G43)=SIGN(O43-P43), OR(AND(F43&gt;G43, F43=O43), AND(G43&gt;F43, G43=P43))), 18, IF(SIGN(F43-G43)=SIGN(O43-P43), 12, IF(OR(F43=O43, G43=P43), 5, 0)))))</f>
        <v/>
      </c>
      <c r="R43" s="16">
        <f>IF(OR(ISBLANK(F43), ISBLANK(O43)), 0, IF(F43=O43, 3, 0))</f>
        <v/>
      </c>
      <c r="S43" s="16">
        <f>IF(OR(ISBLANK(G43), ISBLANK(P43)), 0, IF(G43=P43, 3, 0))</f>
        <v/>
      </c>
      <c r="T43" s="5">
        <f>SUM(Q43:S43)</f>
        <v/>
      </c>
      <c r="U43" s="12" t="n"/>
      <c r="V43" s="12" t="n"/>
      <c r="W43" s="12">
        <f>IF(OR(ISBLANK(F43), ISBLANK(G43)), 0, IF(AND(F43=U43, G43=V43), 25, IF(AND(SIGN(F43-G43)=SIGN(U43-V43), OR(AND(F43&gt;G43, F43=U43), AND(G43&gt;F43, G43=V43))), 18, IF(SIGN(F43-G43)=SIGN(U43-V43), 12, IF(OR(F43=U43, G43=V43), 5, 0)))))</f>
        <v/>
      </c>
      <c r="X43" s="16">
        <f>IF(OR(ISBLANK(F43), ISBLANK(U43)), 0, IF(F43=U43, 3, 0))</f>
        <v/>
      </c>
      <c r="Y43" s="16">
        <f>IF(OR(ISBLANK(G43), ISBLANK(V43)), 0, IF(G43=V43, 3, 0))</f>
        <v/>
      </c>
      <c r="Z43" s="5">
        <f>SUM(W43:Y43)</f>
        <v/>
      </c>
      <c r="AA43" s="12" t="n"/>
      <c r="AB43" s="12" t="n"/>
      <c r="AC43" s="12">
        <f>IF(OR(ISBLANK(F43), ISBLANK(G43)), 0, IF(AND(F43=AA43, G43=AB43), 25, IF(AND(SIGN(F43-G43)=SIGN(AA43-AB43), OR(AND(F43&gt;G43, F43=AA43), AND(G43&gt;F43, G43=AB43))), 18, IF(SIGN(F43-G43)=SIGN(AA43-AB43), 12, IF(OR(F43=AA43, G43=AB43), 5, 0)))))</f>
        <v/>
      </c>
      <c r="AD43" s="16">
        <f>IF(OR(ISBLANK(F43), ISBLANK(AA43)), 0, IF(F43=AA43, 3, 0))</f>
        <v/>
      </c>
      <c r="AE43" s="16">
        <f>IF(OR(ISBLANK(G43), ISBLANK(AB43)), 0, IF(G43=AB43, 3, 0))</f>
        <v/>
      </c>
      <c r="AF43" s="5">
        <f>SUM(AC43:AE43)</f>
        <v/>
      </c>
      <c r="AG43" s="12" t="n"/>
      <c r="AH43" s="12" t="n"/>
      <c r="AI43" s="12">
        <f>IF(OR(ISBLANK(F43), ISBLANK(G43)), 0, IF(AND(F43=AG43, G43=AH43), 25, IF(AND(SIGN(F43-G43)=SIGN(AG43-AH43), OR(AND(F43&gt;G43, F43=AG43), AND(G43&gt;F43, G43=AH43))), 18, IF(SIGN(F43-G43)=SIGN(AG43-AH43), 12, IF(OR(F43=AG43, G43=AH43), 5, 0)))))</f>
        <v/>
      </c>
      <c r="AJ43" s="16">
        <f>IF(OR(ISBLANK(F43), ISBLANK(AG43)), 0, IF(F43=AG43, 3, 0))</f>
        <v/>
      </c>
      <c r="AK43" s="16">
        <f>IF(OR(ISBLANK(G43), ISBLANK(AH43)), 0, IF(G43=AH43, 3, 0))</f>
        <v/>
      </c>
      <c r="AL43" s="5">
        <f>SUM(AI43:AK43)</f>
        <v/>
      </c>
    </row>
    <row r="44">
      <c r="A44" s="12" t="n">
        <v>42</v>
      </c>
      <c r="B44" s="12" t="inlineStr">
        <is>
          <t>07/2026</t>
        </is>
      </c>
      <c r="C44" s="12" t="inlineStr">
        <is>
          <t>16:00</t>
        </is>
      </c>
      <c r="D44" s="13" t="inlineStr">
        <is>
          <t>Dezesseis-avos de Final</t>
        </is>
      </c>
      <c r="E44" s="14" t="inlineStr">
        <is>
          <t>Classificado 11</t>
        </is>
      </c>
      <c r="F44" s="15" t="inlineStr"/>
      <c r="G44" s="15" t="inlineStr"/>
      <c r="H44" s="13" t="inlineStr">
        <is>
          <t>Classificado 12</t>
        </is>
      </c>
      <c r="I44" s="12" t="n"/>
      <c r="J44" s="12" t="n"/>
      <c r="K44" s="12">
        <f>IF(OR(ISBLANK(F44), ISBLANK(G44)), 0, IF(AND(F44=I44, G44=J44), 25, IF(AND(SIGN(F44-G44)=SIGN(I44-J44), OR(AND(F44&gt;G44, F44=I44), AND(G44&gt;F44, G44=J44))), 18, IF(SIGN(F44-G44)=SIGN(I44-J44), 12, IF(OR(F44=I44, G44=J44), 5, 0)))))</f>
        <v/>
      </c>
      <c r="L44" s="16">
        <f>IF(OR(ISBLANK(F44), ISBLANK(I44)), 0, IF(F44=I44, 3, 0))</f>
        <v/>
      </c>
      <c r="M44" s="16">
        <f>IF(OR(ISBLANK(G44), ISBLANK(J44)), 0, IF(G44=J44, 3, 0))</f>
        <v/>
      </c>
      <c r="N44" s="5">
        <f>SUM(K44:M44)</f>
        <v/>
      </c>
      <c r="O44" s="12" t="n"/>
      <c r="P44" s="12" t="n"/>
      <c r="Q44" s="12">
        <f>IF(OR(ISBLANK(F44), ISBLANK(G44)), 0, IF(AND(F44=O44, G44=P44), 25, IF(AND(SIGN(F44-G44)=SIGN(O44-P44), OR(AND(F44&gt;G44, F44=O44), AND(G44&gt;F44, G44=P44))), 18, IF(SIGN(F44-G44)=SIGN(O44-P44), 12, IF(OR(F44=O44, G44=P44), 5, 0)))))</f>
        <v/>
      </c>
      <c r="R44" s="16">
        <f>IF(OR(ISBLANK(F44), ISBLANK(O44)), 0, IF(F44=O44, 3, 0))</f>
        <v/>
      </c>
      <c r="S44" s="16">
        <f>IF(OR(ISBLANK(G44), ISBLANK(P44)), 0, IF(G44=P44, 3, 0))</f>
        <v/>
      </c>
      <c r="T44" s="5">
        <f>SUM(Q44:S44)</f>
        <v/>
      </c>
      <c r="U44" s="12" t="n"/>
      <c r="V44" s="12" t="n"/>
      <c r="W44" s="12">
        <f>IF(OR(ISBLANK(F44), ISBLANK(G44)), 0, IF(AND(F44=U44, G44=V44), 25, IF(AND(SIGN(F44-G44)=SIGN(U44-V44), OR(AND(F44&gt;G44, F44=U44), AND(G44&gt;F44, G44=V44))), 18, IF(SIGN(F44-G44)=SIGN(U44-V44), 12, IF(OR(F44=U44, G44=V44), 5, 0)))))</f>
        <v/>
      </c>
      <c r="X44" s="16">
        <f>IF(OR(ISBLANK(F44), ISBLANK(U44)), 0, IF(F44=U44, 3, 0))</f>
        <v/>
      </c>
      <c r="Y44" s="16">
        <f>IF(OR(ISBLANK(G44), ISBLANK(V44)), 0, IF(G44=V44, 3, 0))</f>
        <v/>
      </c>
      <c r="Z44" s="5">
        <f>SUM(W44:Y44)</f>
        <v/>
      </c>
      <c r="AA44" s="12" t="n"/>
      <c r="AB44" s="12" t="n"/>
      <c r="AC44" s="12">
        <f>IF(OR(ISBLANK(F44), ISBLANK(G44)), 0, IF(AND(F44=AA44, G44=AB44), 25, IF(AND(SIGN(F44-G44)=SIGN(AA44-AB44), OR(AND(F44&gt;G44, F44=AA44), AND(G44&gt;F44, G44=AB44))), 18, IF(SIGN(F44-G44)=SIGN(AA44-AB44), 12, IF(OR(F44=AA44, G44=AB44), 5, 0)))))</f>
        <v/>
      </c>
      <c r="AD44" s="16">
        <f>IF(OR(ISBLANK(F44), ISBLANK(AA44)), 0, IF(F44=AA44, 3, 0))</f>
        <v/>
      </c>
      <c r="AE44" s="16">
        <f>IF(OR(ISBLANK(G44), ISBLANK(AB44)), 0, IF(G44=AB44, 3, 0))</f>
        <v/>
      </c>
      <c r="AF44" s="5">
        <f>SUM(AC44:AE44)</f>
        <v/>
      </c>
      <c r="AG44" s="12" t="n"/>
      <c r="AH44" s="12" t="n"/>
      <c r="AI44" s="12">
        <f>IF(OR(ISBLANK(F44), ISBLANK(G44)), 0, IF(AND(F44=AG44, G44=AH44), 25, IF(AND(SIGN(F44-G44)=SIGN(AG44-AH44), OR(AND(F44&gt;G44, F44=AG44), AND(G44&gt;F44, G44=AH44))), 18, IF(SIGN(F44-G44)=SIGN(AG44-AH44), 12, IF(OR(F44=AG44, G44=AH44), 5, 0)))))</f>
        <v/>
      </c>
      <c r="AJ44" s="16">
        <f>IF(OR(ISBLANK(F44), ISBLANK(AG44)), 0, IF(F44=AG44, 3, 0))</f>
        <v/>
      </c>
      <c r="AK44" s="16">
        <f>IF(OR(ISBLANK(G44), ISBLANK(AH44)), 0, IF(G44=AH44, 3, 0))</f>
        <v/>
      </c>
      <c r="AL44" s="5">
        <f>SUM(AI44:AK44)</f>
        <v/>
      </c>
    </row>
    <row r="45">
      <c r="A45" s="12" t="n">
        <v>43</v>
      </c>
      <c r="B45" s="12" t="inlineStr">
        <is>
          <t>07/2026</t>
        </is>
      </c>
      <c r="C45" s="12" t="inlineStr">
        <is>
          <t>16:00</t>
        </is>
      </c>
      <c r="D45" s="13" t="inlineStr">
        <is>
          <t>Dezesseis-avos de Final</t>
        </is>
      </c>
      <c r="E45" s="14" t="inlineStr">
        <is>
          <t>Classificado 13</t>
        </is>
      </c>
      <c r="F45" s="15" t="inlineStr"/>
      <c r="G45" s="15" t="inlineStr"/>
      <c r="H45" s="13" t="inlineStr">
        <is>
          <t>Classificado 14</t>
        </is>
      </c>
      <c r="I45" s="12" t="n"/>
      <c r="J45" s="12" t="n"/>
      <c r="K45" s="12">
        <f>IF(OR(ISBLANK(F45), ISBLANK(G45)), 0, IF(AND(F45=I45, G45=J45), 25, IF(AND(SIGN(F45-G45)=SIGN(I45-J45), OR(AND(F45&gt;G45, F45=I45), AND(G45&gt;F45, G45=J45))), 18, IF(SIGN(F45-G45)=SIGN(I45-J45), 12, IF(OR(F45=I45, G45=J45), 5, 0)))))</f>
        <v/>
      </c>
      <c r="L45" s="16">
        <f>IF(OR(ISBLANK(F45), ISBLANK(I45)), 0, IF(F45=I45, 3, 0))</f>
        <v/>
      </c>
      <c r="M45" s="16">
        <f>IF(OR(ISBLANK(G45), ISBLANK(J45)), 0, IF(G45=J45, 3, 0))</f>
        <v/>
      </c>
      <c r="N45" s="5">
        <f>SUM(K45:M45)</f>
        <v/>
      </c>
      <c r="O45" s="12" t="n"/>
      <c r="P45" s="12" t="n"/>
      <c r="Q45" s="12">
        <f>IF(OR(ISBLANK(F45), ISBLANK(G45)), 0, IF(AND(F45=O45, G45=P45), 25, IF(AND(SIGN(F45-G45)=SIGN(O45-P45), OR(AND(F45&gt;G45, F45=O45), AND(G45&gt;F45, G45=P45))), 18, IF(SIGN(F45-G45)=SIGN(O45-P45), 12, IF(OR(F45=O45, G45=P45), 5, 0)))))</f>
        <v/>
      </c>
      <c r="R45" s="16">
        <f>IF(OR(ISBLANK(F45), ISBLANK(O45)), 0, IF(F45=O45, 3, 0))</f>
        <v/>
      </c>
      <c r="S45" s="16">
        <f>IF(OR(ISBLANK(G45), ISBLANK(P45)), 0, IF(G45=P45, 3, 0))</f>
        <v/>
      </c>
      <c r="T45" s="5">
        <f>SUM(Q45:S45)</f>
        <v/>
      </c>
      <c r="U45" s="12" t="n"/>
      <c r="V45" s="12" t="n"/>
      <c r="W45" s="12">
        <f>IF(OR(ISBLANK(F45), ISBLANK(G45)), 0, IF(AND(F45=U45, G45=V45), 25, IF(AND(SIGN(F45-G45)=SIGN(U45-V45), OR(AND(F45&gt;G45, F45=U45), AND(G45&gt;F45, G45=V45))), 18, IF(SIGN(F45-G45)=SIGN(U45-V45), 12, IF(OR(F45=U45, G45=V45), 5, 0)))))</f>
        <v/>
      </c>
      <c r="X45" s="16">
        <f>IF(OR(ISBLANK(F45), ISBLANK(U45)), 0, IF(F45=U45, 3, 0))</f>
        <v/>
      </c>
      <c r="Y45" s="16">
        <f>IF(OR(ISBLANK(G45), ISBLANK(V45)), 0, IF(G45=V45, 3, 0))</f>
        <v/>
      </c>
      <c r="Z45" s="5">
        <f>SUM(W45:Y45)</f>
        <v/>
      </c>
      <c r="AA45" s="12" t="n"/>
      <c r="AB45" s="12" t="n"/>
      <c r="AC45" s="12">
        <f>IF(OR(ISBLANK(F45), ISBLANK(G45)), 0, IF(AND(F45=AA45, G45=AB45), 25, IF(AND(SIGN(F45-G45)=SIGN(AA45-AB45), OR(AND(F45&gt;G45, F45=AA45), AND(G45&gt;F45, G45=AB45))), 18, IF(SIGN(F45-G45)=SIGN(AA45-AB45), 12, IF(OR(F45=AA45, G45=AB45), 5, 0)))))</f>
        <v/>
      </c>
      <c r="AD45" s="16">
        <f>IF(OR(ISBLANK(F45), ISBLANK(AA45)), 0, IF(F45=AA45, 3, 0))</f>
        <v/>
      </c>
      <c r="AE45" s="16">
        <f>IF(OR(ISBLANK(G45), ISBLANK(AB45)), 0, IF(G45=AB45, 3, 0))</f>
        <v/>
      </c>
      <c r="AF45" s="5">
        <f>SUM(AC45:AE45)</f>
        <v/>
      </c>
      <c r="AG45" s="12" t="n"/>
      <c r="AH45" s="12" t="n"/>
      <c r="AI45" s="12">
        <f>IF(OR(ISBLANK(F45), ISBLANK(G45)), 0, IF(AND(F45=AG45, G45=AH45), 25, IF(AND(SIGN(F45-G45)=SIGN(AG45-AH45), OR(AND(F45&gt;G45, F45=AG45), AND(G45&gt;F45, G45=AH45))), 18, IF(SIGN(F45-G45)=SIGN(AG45-AH45), 12, IF(OR(F45=AG45, G45=AH45), 5, 0)))))</f>
        <v/>
      </c>
      <c r="AJ45" s="16">
        <f>IF(OR(ISBLANK(F45), ISBLANK(AG45)), 0, IF(F45=AG45, 3, 0))</f>
        <v/>
      </c>
      <c r="AK45" s="16">
        <f>IF(OR(ISBLANK(G45), ISBLANK(AH45)), 0, IF(G45=AH45, 3, 0))</f>
        <v/>
      </c>
      <c r="AL45" s="5">
        <f>SUM(AI45:AK45)</f>
        <v/>
      </c>
    </row>
    <row r="46">
      <c r="A46" s="12" t="n">
        <v>44</v>
      </c>
      <c r="B46" s="12" t="inlineStr">
        <is>
          <t>07/2026</t>
        </is>
      </c>
      <c r="C46" s="12" t="inlineStr">
        <is>
          <t>16:00</t>
        </is>
      </c>
      <c r="D46" s="13" t="inlineStr">
        <is>
          <t>Dezesseis-avos de Final</t>
        </is>
      </c>
      <c r="E46" s="14" t="inlineStr">
        <is>
          <t>Classificado 15</t>
        </is>
      </c>
      <c r="F46" s="15" t="inlineStr"/>
      <c r="G46" s="15" t="inlineStr"/>
      <c r="H46" s="13" t="inlineStr">
        <is>
          <t>Classificado 16</t>
        </is>
      </c>
      <c r="I46" s="12" t="n"/>
      <c r="J46" s="12" t="n"/>
      <c r="K46" s="12">
        <f>IF(OR(ISBLANK(F46), ISBLANK(G46)), 0, IF(AND(F46=I46, G46=J46), 25, IF(AND(SIGN(F46-G46)=SIGN(I46-J46), OR(AND(F46&gt;G46, F46=I46), AND(G46&gt;F46, G46=J46))), 18, IF(SIGN(F46-G46)=SIGN(I46-J46), 12, IF(OR(F46=I46, G46=J46), 5, 0)))))</f>
        <v/>
      </c>
      <c r="L46" s="16">
        <f>IF(OR(ISBLANK(F46), ISBLANK(I46)), 0, IF(F46=I46, 3, 0))</f>
        <v/>
      </c>
      <c r="M46" s="16">
        <f>IF(OR(ISBLANK(G46), ISBLANK(J46)), 0, IF(G46=J46, 3, 0))</f>
        <v/>
      </c>
      <c r="N46" s="5">
        <f>SUM(K46:M46)</f>
        <v/>
      </c>
      <c r="O46" s="12" t="n"/>
      <c r="P46" s="12" t="n"/>
      <c r="Q46" s="12">
        <f>IF(OR(ISBLANK(F46), ISBLANK(G46)), 0, IF(AND(F46=O46, G46=P46), 25, IF(AND(SIGN(F46-G46)=SIGN(O46-P46), OR(AND(F46&gt;G46, F46=O46), AND(G46&gt;F46, G46=P46))), 18, IF(SIGN(F46-G46)=SIGN(O46-P46), 12, IF(OR(F46=O46, G46=P46), 5, 0)))))</f>
        <v/>
      </c>
      <c r="R46" s="16">
        <f>IF(OR(ISBLANK(F46), ISBLANK(O46)), 0, IF(F46=O46, 3, 0))</f>
        <v/>
      </c>
      <c r="S46" s="16">
        <f>IF(OR(ISBLANK(G46), ISBLANK(P46)), 0, IF(G46=P46, 3, 0))</f>
        <v/>
      </c>
      <c r="T46" s="5">
        <f>SUM(Q46:S46)</f>
        <v/>
      </c>
      <c r="U46" s="12" t="n"/>
      <c r="V46" s="12" t="n"/>
      <c r="W46" s="12">
        <f>IF(OR(ISBLANK(F46), ISBLANK(G46)), 0, IF(AND(F46=U46, G46=V46), 25, IF(AND(SIGN(F46-G46)=SIGN(U46-V46), OR(AND(F46&gt;G46, F46=U46), AND(G46&gt;F46, G46=V46))), 18, IF(SIGN(F46-G46)=SIGN(U46-V46), 12, IF(OR(F46=U46, G46=V46), 5, 0)))))</f>
        <v/>
      </c>
      <c r="X46" s="16">
        <f>IF(OR(ISBLANK(F46), ISBLANK(U46)), 0, IF(F46=U46, 3, 0))</f>
        <v/>
      </c>
      <c r="Y46" s="16">
        <f>IF(OR(ISBLANK(G46), ISBLANK(V46)), 0, IF(G46=V46, 3, 0))</f>
        <v/>
      </c>
      <c r="Z46" s="5">
        <f>SUM(W46:Y46)</f>
        <v/>
      </c>
      <c r="AA46" s="12" t="n"/>
      <c r="AB46" s="12" t="n"/>
      <c r="AC46" s="12">
        <f>IF(OR(ISBLANK(F46), ISBLANK(G46)), 0, IF(AND(F46=AA46, G46=AB46), 25, IF(AND(SIGN(F46-G46)=SIGN(AA46-AB46), OR(AND(F46&gt;G46, F46=AA46), AND(G46&gt;F46, G46=AB46))), 18, IF(SIGN(F46-G46)=SIGN(AA46-AB46), 12, IF(OR(F46=AA46, G46=AB46), 5, 0)))))</f>
        <v/>
      </c>
      <c r="AD46" s="16">
        <f>IF(OR(ISBLANK(F46), ISBLANK(AA46)), 0, IF(F46=AA46, 3, 0))</f>
        <v/>
      </c>
      <c r="AE46" s="16">
        <f>IF(OR(ISBLANK(G46), ISBLANK(AB46)), 0, IF(G46=AB46, 3, 0))</f>
        <v/>
      </c>
      <c r="AF46" s="5">
        <f>SUM(AC46:AE46)</f>
        <v/>
      </c>
      <c r="AG46" s="12" t="n"/>
      <c r="AH46" s="12" t="n"/>
      <c r="AI46" s="12">
        <f>IF(OR(ISBLANK(F46), ISBLANK(G46)), 0, IF(AND(F46=AG46, G46=AH46), 25, IF(AND(SIGN(F46-G46)=SIGN(AG46-AH46), OR(AND(F46&gt;G46, F46=AG46), AND(G46&gt;F46, G46=AH46))), 18, IF(SIGN(F46-G46)=SIGN(AG46-AH46), 12, IF(OR(F46=AG46, G46=AH46), 5, 0)))))</f>
        <v/>
      </c>
      <c r="AJ46" s="16">
        <f>IF(OR(ISBLANK(F46), ISBLANK(AG46)), 0, IF(F46=AG46, 3, 0))</f>
        <v/>
      </c>
      <c r="AK46" s="16">
        <f>IF(OR(ISBLANK(G46), ISBLANK(AH46)), 0, IF(G46=AH46, 3, 0))</f>
        <v/>
      </c>
      <c r="AL46" s="5">
        <f>SUM(AI46:AK46)</f>
        <v/>
      </c>
    </row>
    <row r="47">
      <c r="A47" s="12" t="n">
        <v>45</v>
      </c>
      <c r="B47" s="12" t="inlineStr">
        <is>
          <t>07/2026</t>
        </is>
      </c>
      <c r="C47" s="12" t="inlineStr">
        <is>
          <t>16:00</t>
        </is>
      </c>
      <c r="D47" s="13" t="inlineStr">
        <is>
          <t>Dezesseis-avos de Final</t>
        </is>
      </c>
      <c r="E47" s="14" t="inlineStr">
        <is>
          <t>Classificado 17</t>
        </is>
      </c>
      <c r="F47" s="15" t="inlineStr"/>
      <c r="G47" s="15" t="inlineStr"/>
      <c r="H47" s="13" t="inlineStr">
        <is>
          <t>Classificado 18</t>
        </is>
      </c>
      <c r="I47" s="12" t="n"/>
      <c r="J47" s="12" t="n"/>
      <c r="K47" s="12">
        <f>IF(OR(ISBLANK(F47), ISBLANK(G47)), 0, IF(AND(F47=I47, G47=J47), 25, IF(AND(SIGN(F47-G47)=SIGN(I47-J47), OR(AND(F47&gt;G47, F47=I47), AND(G47&gt;F47, G47=J47))), 18, IF(SIGN(F47-G47)=SIGN(I47-J47), 12, IF(OR(F47=I47, G47=J47), 5, 0)))))</f>
        <v/>
      </c>
      <c r="L47" s="16">
        <f>IF(OR(ISBLANK(F47), ISBLANK(I47)), 0, IF(F47=I47, 3, 0))</f>
        <v/>
      </c>
      <c r="M47" s="16">
        <f>IF(OR(ISBLANK(G47), ISBLANK(J47)), 0, IF(G47=J47, 3, 0))</f>
        <v/>
      </c>
      <c r="N47" s="5">
        <f>SUM(K47:M47)</f>
        <v/>
      </c>
      <c r="O47" s="12" t="n"/>
      <c r="P47" s="12" t="n"/>
      <c r="Q47" s="12">
        <f>IF(OR(ISBLANK(F47), ISBLANK(G47)), 0, IF(AND(F47=O47, G47=P47), 25, IF(AND(SIGN(F47-G47)=SIGN(O47-P47), OR(AND(F47&gt;G47, F47=O47), AND(G47&gt;F47, G47=P47))), 18, IF(SIGN(F47-G47)=SIGN(O47-P47), 12, IF(OR(F47=O47, G47=P47), 5, 0)))))</f>
        <v/>
      </c>
      <c r="R47" s="16">
        <f>IF(OR(ISBLANK(F47), ISBLANK(O47)), 0, IF(F47=O47, 3, 0))</f>
        <v/>
      </c>
      <c r="S47" s="16">
        <f>IF(OR(ISBLANK(G47), ISBLANK(P47)), 0, IF(G47=P47, 3, 0))</f>
        <v/>
      </c>
      <c r="T47" s="5">
        <f>SUM(Q47:S47)</f>
        <v/>
      </c>
      <c r="U47" s="12" t="n"/>
      <c r="V47" s="12" t="n"/>
      <c r="W47" s="12">
        <f>IF(OR(ISBLANK(F47), ISBLANK(G47)), 0, IF(AND(F47=U47, G47=V47), 25, IF(AND(SIGN(F47-G47)=SIGN(U47-V47), OR(AND(F47&gt;G47, F47=U47), AND(G47&gt;F47, G47=V47))), 18, IF(SIGN(F47-G47)=SIGN(U47-V47), 12, IF(OR(F47=U47, G47=V47), 5, 0)))))</f>
        <v/>
      </c>
      <c r="X47" s="16">
        <f>IF(OR(ISBLANK(F47), ISBLANK(U47)), 0, IF(F47=U47, 3, 0))</f>
        <v/>
      </c>
      <c r="Y47" s="16">
        <f>IF(OR(ISBLANK(G47), ISBLANK(V47)), 0, IF(G47=V47, 3, 0))</f>
        <v/>
      </c>
      <c r="Z47" s="5">
        <f>SUM(W47:Y47)</f>
        <v/>
      </c>
      <c r="AA47" s="12" t="n"/>
      <c r="AB47" s="12" t="n"/>
      <c r="AC47" s="12">
        <f>IF(OR(ISBLANK(F47), ISBLANK(G47)), 0, IF(AND(F47=AA47, G47=AB47), 25, IF(AND(SIGN(F47-G47)=SIGN(AA47-AB47), OR(AND(F47&gt;G47, F47=AA47), AND(G47&gt;F47, G47=AB47))), 18, IF(SIGN(F47-G47)=SIGN(AA47-AB47), 12, IF(OR(F47=AA47, G47=AB47), 5, 0)))))</f>
        <v/>
      </c>
      <c r="AD47" s="16">
        <f>IF(OR(ISBLANK(F47), ISBLANK(AA47)), 0, IF(F47=AA47, 3, 0))</f>
        <v/>
      </c>
      <c r="AE47" s="16">
        <f>IF(OR(ISBLANK(G47), ISBLANK(AB47)), 0, IF(G47=AB47, 3, 0))</f>
        <v/>
      </c>
      <c r="AF47" s="5">
        <f>SUM(AC47:AE47)</f>
        <v/>
      </c>
      <c r="AG47" s="12" t="n"/>
      <c r="AH47" s="12" t="n"/>
      <c r="AI47" s="12">
        <f>IF(OR(ISBLANK(F47), ISBLANK(G47)), 0, IF(AND(F47=AG47, G47=AH47), 25, IF(AND(SIGN(F47-G47)=SIGN(AG47-AH47), OR(AND(F47&gt;G47, F47=AG47), AND(G47&gt;F47, G47=AH47))), 18, IF(SIGN(F47-G47)=SIGN(AG47-AH47), 12, IF(OR(F47=AG47, G47=AH47), 5, 0)))))</f>
        <v/>
      </c>
      <c r="AJ47" s="16">
        <f>IF(OR(ISBLANK(F47), ISBLANK(AG47)), 0, IF(F47=AG47, 3, 0))</f>
        <v/>
      </c>
      <c r="AK47" s="16">
        <f>IF(OR(ISBLANK(G47), ISBLANK(AH47)), 0, IF(G47=AH47, 3, 0))</f>
        <v/>
      </c>
      <c r="AL47" s="5">
        <f>SUM(AI47:AK47)</f>
        <v/>
      </c>
    </row>
    <row r="48">
      <c r="A48" s="12" t="n">
        <v>46</v>
      </c>
      <c r="B48" s="12" t="inlineStr">
        <is>
          <t>07/2026</t>
        </is>
      </c>
      <c r="C48" s="12" t="inlineStr">
        <is>
          <t>16:00</t>
        </is>
      </c>
      <c r="D48" s="13" t="inlineStr">
        <is>
          <t>Dezesseis-avos de Final</t>
        </is>
      </c>
      <c r="E48" s="14" t="inlineStr">
        <is>
          <t>Classificado 19</t>
        </is>
      </c>
      <c r="F48" s="15" t="inlineStr"/>
      <c r="G48" s="15" t="inlineStr"/>
      <c r="H48" s="13" t="inlineStr">
        <is>
          <t>Classificado 20</t>
        </is>
      </c>
      <c r="I48" s="12" t="n"/>
      <c r="J48" s="12" t="n"/>
      <c r="K48" s="12">
        <f>IF(OR(ISBLANK(F48), ISBLANK(G48)), 0, IF(AND(F48=I48, G48=J48), 25, IF(AND(SIGN(F48-G48)=SIGN(I48-J48), OR(AND(F48&gt;G48, F48=I48), AND(G48&gt;F48, G48=J48))), 18, IF(SIGN(F48-G48)=SIGN(I48-J48), 12, IF(OR(F48=I48, G48=J48), 5, 0)))))</f>
        <v/>
      </c>
      <c r="L48" s="16">
        <f>IF(OR(ISBLANK(F48), ISBLANK(I48)), 0, IF(F48=I48, 3, 0))</f>
        <v/>
      </c>
      <c r="M48" s="16">
        <f>IF(OR(ISBLANK(G48), ISBLANK(J48)), 0, IF(G48=J48, 3, 0))</f>
        <v/>
      </c>
      <c r="N48" s="5">
        <f>SUM(K48:M48)</f>
        <v/>
      </c>
      <c r="O48" s="12" t="n"/>
      <c r="P48" s="12" t="n"/>
      <c r="Q48" s="12">
        <f>IF(OR(ISBLANK(F48), ISBLANK(G48)), 0, IF(AND(F48=O48, G48=P48), 25, IF(AND(SIGN(F48-G48)=SIGN(O48-P48), OR(AND(F48&gt;G48, F48=O48), AND(G48&gt;F48, G48=P48))), 18, IF(SIGN(F48-G48)=SIGN(O48-P48), 12, IF(OR(F48=O48, G48=P48), 5, 0)))))</f>
        <v/>
      </c>
      <c r="R48" s="16">
        <f>IF(OR(ISBLANK(F48), ISBLANK(O48)), 0, IF(F48=O48, 3, 0))</f>
        <v/>
      </c>
      <c r="S48" s="16">
        <f>IF(OR(ISBLANK(G48), ISBLANK(P48)), 0, IF(G48=P48, 3, 0))</f>
        <v/>
      </c>
      <c r="T48" s="5">
        <f>SUM(Q48:S48)</f>
        <v/>
      </c>
      <c r="U48" s="12" t="n"/>
      <c r="V48" s="12" t="n"/>
      <c r="W48" s="12">
        <f>IF(OR(ISBLANK(F48), ISBLANK(G48)), 0, IF(AND(F48=U48, G48=V48), 25, IF(AND(SIGN(F48-G48)=SIGN(U48-V48), OR(AND(F48&gt;G48, F48=U48), AND(G48&gt;F48, G48=V48))), 18, IF(SIGN(F48-G48)=SIGN(U48-V48), 12, IF(OR(F48=U48, G48=V48), 5, 0)))))</f>
        <v/>
      </c>
      <c r="X48" s="16">
        <f>IF(OR(ISBLANK(F48), ISBLANK(U48)), 0, IF(F48=U48, 3, 0))</f>
        <v/>
      </c>
      <c r="Y48" s="16">
        <f>IF(OR(ISBLANK(G48), ISBLANK(V48)), 0, IF(G48=V48, 3, 0))</f>
        <v/>
      </c>
      <c r="Z48" s="5">
        <f>SUM(W48:Y48)</f>
        <v/>
      </c>
      <c r="AA48" s="12" t="n"/>
      <c r="AB48" s="12" t="n"/>
      <c r="AC48" s="12">
        <f>IF(OR(ISBLANK(F48), ISBLANK(G48)), 0, IF(AND(F48=AA48, G48=AB48), 25, IF(AND(SIGN(F48-G48)=SIGN(AA48-AB48), OR(AND(F48&gt;G48, F48=AA48), AND(G48&gt;F48, G48=AB48))), 18, IF(SIGN(F48-G48)=SIGN(AA48-AB48), 12, IF(OR(F48=AA48, G48=AB48), 5, 0)))))</f>
        <v/>
      </c>
      <c r="AD48" s="16">
        <f>IF(OR(ISBLANK(F48), ISBLANK(AA48)), 0, IF(F48=AA48, 3, 0))</f>
        <v/>
      </c>
      <c r="AE48" s="16">
        <f>IF(OR(ISBLANK(G48), ISBLANK(AB48)), 0, IF(G48=AB48, 3, 0))</f>
        <v/>
      </c>
      <c r="AF48" s="5">
        <f>SUM(AC48:AE48)</f>
        <v/>
      </c>
      <c r="AG48" s="12" t="n"/>
      <c r="AH48" s="12" t="n"/>
      <c r="AI48" s="12">
        <f>IF(OR(ISBLANK(F48), ISBLANK(G48)), 0, IF(AND(F48=AG48, G48=AH48), 25, IF(AND(SIGN(F48-G48)=SIGN(AG48-AH48), OR(AND(F48&gt;G48, F48=AG48), AND(G48&gt;F48, G48=AH48))), 18, IF(SIGN(F48-G48)=SIGN(AG48-AH48), 12, IF(OR(F48=AG48, G48=AH48), 5, 0)))))</f>
        <v/>
      </c>
      <c r="AJ48" s="16">
        <f>IF(OR(ISBLANK(F48), ISBLANK(AG48)), 0, IF(F48=AG48, 3, 0))</f>
        <v/>
      </c>
      <c r="AK48" s="16">
        <f>IF(OR(ISBLANK(G48), ISBLANK(AH48)), 0, IF(G48=AH48, 3, 0))</f>
        <v/>
      </c>
      <c r="AL48" s="5">
        <f>SUM(AI48:AK48)</f>
        <v/>
      </c>
    </row>
    <row r="49">
      <c r="A49" s="12" t="n">
        <v>47</v>
      </c>
      <c r="B49" s="12" t="inlineStr">
        <is>
          <t>07/2026</t>
        </is>
      </c>
      <c r="C49" s="12" t="inlineStr">
        <is>
          <t>16:00</t>
        </is>
      </c>
      <c r="D49" s="13" t="inlineStr">
        <is>
          <t>Dezesseis-avos de Final</t>
        </is>
      </c>
      <c r="E49" s="14" t="inlineStr">
        <is>
          <t>Classificado 21</t>
        </is>
      </c>
      <c r="F49" s="15" t="inlineStr"/>
      <c r="G49" s="15" t="inlineStr"/>
      <c r="H49" s="13" t="inlineStr">
        <is>
          <t>Classificado 22</t>
        </is>
      </c>
      <c r="I49" s="12" t="n"/>
      <c r="J49" s="12" t="n"/>
      <c r="K49" s="12">
        <f>IF(OR(ISBLANK(F49), ISBLANK(G49)), 0, IF(AND(F49=I49, G49=J49), 25, IF(AND(SIGN(F49-G49)=SIGN(I49-J49), OR(AND(F49&gt;G49, F49=I49), AND(G49&gt;F49, G49=J49))), 18, IF(SIGN(F49-G49)=SIGN(I49-J49), 12, IF(OR(F49=I49, G49=J49), 5, 0)))))</f>
        <v/>
      </c>
      <c r="L49" s="16">
        <f>IF(OR(ISBLANK(F49), ISBLANK(I49)), 0, IF(F49=I49, 3, 0))</f>
        <v/>
      </c>
      <c r="M49" s="16">
        <f>IF(OR(ISBLANK(G49), ISBLANK(J49)), 0, IF(G49=J49, 3, 0))</f>
        <v/>
      </c>
      <c r="N49" s="5">
        <f>SUM(K49:M49)</f>
        <v/>
      </c>
      <c r="O49" s="12" t="n"/>
      <c r="P49" s="12" t="n"/>
      <c r="Q49" s="12">
        <f>IF(OR(ISBLANK(F49), ISBLANK(G49)), 0, IF(AND(F49=O49, G49=P49), 25, IF(AND(SIGN(F49-G49)=SIGN(O49-P49), OR(AND(F49&gt;G49, F49=O49), AND(G49&gt;F49, G49=P49))), 18, IF(SIGN(F49-G49)=SIGN(O49-P49), 12, IF(OR(F49=O49, G49=P49), 5, 0)))))</f>
        <v/>
      </c>
      <c r="R49" s="16">
        <f>IF(OR(ISBLANK(F49), ISBLANK(O49)), 0, IF(F49=O49, 3, 0))</f>
        <v/>
      </c>
      <c r="S49" s="16">
        <f>IF(OR(ISBLANK(G49), ISBLANK(P49)), 0, IF(G49=P49, 3, 0))</f>
        <v/>
      </c>
      <c r="T49" s="5">
        <f>SUM(Q49:S49)</f>
        <v/>
      </c>
      <c r="U49" s="12" t="n"/>
      <c r="V49" s="12" t="n"/>
      <c r="W49" s="12">
        <f>IF(OR(ISBLANK(F49), ISBLANK(G49)), 0, IF(AND(F49=U49, G49=V49), 25, IF(AND(SIGN(F49-G49)=SIGN(U49-V49), OR(AND(F49&gt;G49, F49=U49), AND(G49&gt;F49, G49=V49))), 18, IF(SIGN(F49-G49)=SIGN(U49-V49), 12, IF(OR(F49=U49, G49=V49), 5, 0)))))</f>
        <v/>
      </c>
      <c r="X49" s="16">
        <f>IF(OR(ISBLANK(F49), ISBLANK(U49)), 0, IF(F49=U49, 3, 0))</f>
        <v/>
      </c>
      <c r="Y49" s="16">
        <f>IF(OR(ISBLANK(G49), ISBLANK(V49)), 0, IF(G49=V49, 3, 0))</f>
        <v/>
      </c>
      <c r="Z49" s="5">
        <f>SUM(W49:Y49)</f>
        <v/>
      </c>
      <c r="AA49" s="12" t="n"/>
      <c r="AB49" s="12" t="n"/>
      <c r="AC49" s="12">
        <f>IF(OR(ISBLANK(F49), ISBLANK(G49)), 0, IF(AND(F49=AA49, G49=AB49), 25, IF(AND(SIGN(F49-G49)=SIGN(AA49-AB49), OR(AND(F49&gt;G49, F49=AA49), AND(G49&gt;F49, G49=AB49))), 18, IF(SIGN(F49-G49)=SIGN(AA49-AB49), 12, IF(OR(F49=AA49, G49=AB49), 5, 0)))))</f>
        <v/>
      </c>
      <c r="AD49" s="16">
        <f>IF(OR(ISBLANK(F49), ISBLANK(AA49)), 0, IF(F49=AA49, 3, 0))</f>
        <v/>
      </c>
      <c r="AE49" s="16">
        <f>IF(OR(ISBLANK(G49), ISBLANK(AB49)), 0, IF(G49=AB49, 3, 0))</f>
        <v/>
      </c>
      <c r="AF49" s="5">
        <f>SUM(AC49:AE49)</f>
        <v/>
      </c>
      <c r="AG49" s="12" t="n"/>
      <c r="AH49" s="12" t="n"/>
      <c r="AI49" s="12">
        <f>IF(OR(ISBLANK(F49), ISBLANK(G49)), 0, IF(AND(F49=AG49, G49=AH49), 25, IF(AND(SIGN(F49-G49)=SIGN(AG49-AH49), OR(AND(F49&gt;G49, F49=AG49), AND(G49&gt;F49, G49=AH49))), 18, IF(SIGN(F49-G49)=SIGN(AG49-AH49), 12, IF(OR(F49=AG49, G49=AH49), 5, 0)))))</f>
        <v/>
      </c>
      <c r="AJ49" s="16">
        <f>IF(OR(ISBLANK(F49), ISBLANK(AG49)), 0, IF(F49=AG49, 3, 0))</f>
        <v/>
      </c>
      <c r="AK49" s="16">
        <f>IF(OR(ISBLANK(G49), ISBLANK(AH49)), 0, IF(G49=AH49, 3, 0))</f>
        <v/>
      </c>
      <c r="AL49" s="5">
        <f>SUM(AI49:AK49)</f>
        <v/>
      </c>
    </row>
    <row r="50">
      <c r="A50" s="12" t="n">
        <v>48</v>
      </c>
      <c r="B50" s="12" t="inlineStr">
        <is>
          <t>07/2026</t>
        </is>
      </c>
      <c r="C50" s="12" t="inlineStr">
        <is>
          <t>16:00</t>
        </is>
      </c>
      <c r="D50" s="13" t="inlineStr">
        <is>
          <t>Dezesseis-avos de Final</t>
        </is>
      </c>
      <c r="E50" s="14" t="inlineStr">
        <is>
          <t>Classificado 23</t>
        </is>
      </c>
      <c r="F50" s="15" t="inlineStr"/>
      <c r="G50" s="15" t="inlineStr"/>
      <c r="H50" s="13" t="inlineStr">
        <is>
          <t>Classificado 24</t>
        </is>
      </c>
      <c r="I50" s="12" t="n"/>
      <c r="J50" s="12" t="n"/>
      <c r="K50" s="12">
        <f>IF(OR(ISBLANK(F50), ISBLANK(G50)), 0, IF(AND(F50=I50, G50=J50), 25, IF(AND(SIGN(F50-G50)=SIGN(I50-J50), OR(AND(F50&gt;G50, F50=I50), AND(G50&gt;F50, G50=J50))), 18, IF(SIGN(F50-G50)=SIGN(I50-J50), 12, IF(OR(F50=I50, G50=J50), 5, 0)))))</f>
        <v/>
      </c>
      <c r="L50" s="16">
        <f>IF(OR(ISBLANK(F50), ISBLANK(I50)), 0, IF(F50=I50, 3, 0))</f>
        <v/>
      </c>
      <c r="M50" s="16">
        <f>IF(OR(ISBLANK(G50), ISBLANK(J50)), 0, IF(G50=J50, 3, 0))</f>
        <v/>
      </c>
      <c r="N50" s="5">
        <f>SUM(K50:M50)</f>
        <v/>
      </c>
      <c r="O50" s="12" t="n"/>
      <c r="P50" s="12" t="n"/>
      <c r="Q50" s="12">
        <f>IF(OR(ISBLANK(F50), ISBLANK(G50)), 0, IF(AND(F50=O50, G50=P50), 25, IF(AND(SIGN(F50-G50)=SIGN(O50-P50), OR(AND(F50&gt;G50, F50=O50), AND(G50&gt;F50, G50=P50))), 18, IF(SIGN(F50-G50)=SIGN(O50-P50), 12, IF(OR(F50=O50, G50=P50), 5, 0)))))</f>
        <v/>
      </c>
      <c r="R50" s="16">
        <f>IF(OR(ISBLANK(F50), ISBLANK(O50)), 0, IF(F50=O50, 3, 0))</f>
        <v/>
      </c>
      <c r="S50" s="16">
        <f>IF(OR(ISBLANK(G50), ISBLANK(P50)), 0, IF(G50=P50, 3, 0))</f>
        <v/>
      </c>
      <c r="T50" s="5">
        <f>SUM(Q50:S50)</f>
        <v/>
      </c>
      <c r="U50" s="12" t="n"/>
      <c r="V50" s="12" t="n"/>
      <c r="W50" s="12">
        <f>IF(OR(ISBLANK(F50), ISBLANK(G50)), 0, IF(AND(F50=U50, G50=V50), 25, IF(AND(SIGN(F50-G50)=SIGN(U50-V50), OR(AND(F50&gt;G50, F50=U50), AND(G50&gt;F50, G50=V50))), 18, IF(SIGN(F50-G50)=SIGN(U50-V50), 12, IF(OR(F50=U50, G50=V50), 5, 0)))))</f>
        <v/>
      </c>
      <c r="X50" s="16">
        <f>IF(OR(ISBLANK(F50), ISBLANK(U50)), 0, IF(F50=U50, 3, 0))</f>
        <v/>
      </c>
      <c r="Y50" s="16">
        <f>IF(OR(ISBLANK(G50), ISBLANK(V50)), 0, IF(G50=V50, 3, 0))</f>
        <v/>
      </c>
      <c r="Z50" s="5">
        <f>SUM(W50:Y50)</f>
        <v/>
      </c>
      <c r="AA50" s="12" t="n"/>
      <c r="AB50" s="12" t="n"/>
      <c r="AC50" s="12">
        <f>IF(OR(ISBLANK(F50), ISBLANK(G50)), 0, IF(AND(F50=AA50, G50=AB50), 25, IF(AND(SIGN(F50-G50)=SIGN(AA50-AB50), OR(AND(F50&gt;G50, F50=AA50), AND(G50&gt;F50, G50=AB50))), 18, IF(SIGN(F50-G50)=SIGN(AA50-AB50), 12, IF(OR(F50=AA50, G50=AB50), 5, 0)))))</f>
        <v/>
      </c>
      <c r="AD50" s="16">
        <f>IF(OR(ISBLANK(F50), ISBLANK(AA50)), 0, IF(F50=AA50, 3, 0))</f>
        <v/>
      </c>
      <c r="AE50" s="16">
        <f>IF(OR(ISBLANK(G50), ISBLANK(AB50)), 0, IF(G50=AB50, 3, 0))</f>
        <v/>
      </c>
      <c r="AF50" s="5">
        <f>SUM(AC50:AE50)</f>
        <v/>
      </c>
      <c r="AG50" s="12" t="n"/>
      <c r="AH50" s="12" t="n"/>
      <c r="AI50" s="12">
        <f>IF(OR(ISBLANK(F50), ISBLANK(G50)), 0, IF(AND(F50=AG50, G50=AH50), 25, IF(AND(SIGN(F50-G50)=SIGN(AG50-AH50), OR(AND(F50&gt;G50, F50=AG50), AND(G50&gt;F50, G50=AH50))), 18, IF(SIGN(F50-G50)=SIGN(AG50-AH50), 12, IF(OR(F50=AG50, G50=AH50), 5, 0)))))</f>
        <v/>
      </c>
      <c r="AJ50" s="16">
        <f>IF(OR(ISBLANK(F50), ISBLANK(AG50)), 0, IF(F50=AG50, 3, 0))</f>
        <v/>
      </c>
      <c r="AK50" s="16">
        <f>IF(OR(ISBLANK(G50), ISBLANK(AH50)), 0, IF(G50=AH50, 3, 0))</f>
        <v/>
      </c>
      <c r="AL50" s="5">
        <f>SUM(AI50:AK50)</f>
        <v/>
      </c>
    </row>
    <row r="51">
      <c r="A51" s="12" t="n">
        <v>49</v>
      </c>
      <c r="B51" s="12" t="inlineStr">
        <is>
          <t>07/2026</t>
        </is>
      </c>
      <c r="C51" s="12" t="inlineStr">
        <is>
          <t>16:00</t>
        </is>
      </c>
      <c r="D51" s="13" t="inlineStr">
        <is>
          <t>Dezesseis-avos de Final</t>
        </is>
      </c>
      <c r="E51" s="14" t="inlineStr">
        <is>
          <t>Classificado 25</t>
        </is>
      </c>
      <c r="F51" s="15" t="inlineStr"/>
      <c r="G51" s="15" t="inlineStr"/>
      <c r="H51" s="13" t="inlineStr">
        <is>
          <t>Classificado 26</t>
        </is>
      </c>
      <c r="I51" s="12" t="n"/>
      <c r="J51" s="12" t="n"/>
      <c r="K51" s="12">
        <f>IF(OR(ISBLANK(F51), ISBLANK(G51)), 0, IF(AND(F51=I51, G51=J51), 25, IF(AND(SIGN(F51-G51)=SIGN(I51-J51), OR(AND(F51&gt;G51, F51=I51), AND(G51&gt;F51, G51=J51))), 18, IF(SIGN(F51-G51)=SIGN(I51-J51), 12, IF(OR(F51=I51, G51=J51), 5, 0)))))</f>
        <v/>
      </c>
      <c r="L51" s="16">
        <f>IF(OR(ISBLANK(F51), ISBLANK(I51)), 0, IF(F51=I51, 3, 0))</f>
        <v/>
      </c>
      <c r="M51" s="16">
        <f>IF(OR(ISBLANK(G51), ISBLANK(J51)), 0, IF(G51=J51, 3, 0))</f>
        <v/>
      </c>
      <c r="N51" s="5">
        <f>SUM(K51:M51)</f>
        <v/>
      </c>
      <c r="O51" s="12" t="n"/>
      <c r="P51" s="12" t="n"/>
      <c r="Q51" s="12">
        <f>IF(OR(ISBLANK(F51), ISBLANK(G51)), 0, IF(AND(F51=O51, G51=P51), 25, IF(AND(SIGN(F51-G51)=SIGN(O51-P51), OR(AND(F51&gt;G51, F51=O51), AND(G51&gt;F51, G51=P51))), 18, IF(SIGN(F51-G51)=SIGN(O51-P51), 12, IF(OR(F51=O51, G51=P51), 5, 0)))))</f>
        <v/>
      </c>
      <c r="R51" s="16">
        <f>IF(OR(ISBLANK(F51), ISBLANK(O51)), 0, IF(F51=O51, 3, 0))</f>
        <v/>
      </c>
      <c r="S51" s="16">
        <f>IF(OR(ISBLANK(G51), ISBLANK(P51)), 0, IF(G51=P51, 3, 0))</f>
        <v/>
      </c>
      <c r="T51" s="5">
        <f>SUM(Q51:S51)</f>
        <v/>
      </c>
      <c r="U51" s="12" t="n"/>
      <c r="V51" s="12" t="n"/>
      <c r="W51" s="12">
        <f>IF(OR(ISBLANK(F51), ISBLANK(G51)), 0, IF(AND(F51=U51, G51=V51), 25, IF(AND(SIGN(F51-G51)=SIGN(U51-V51), OR(AND(F51&gt;G51, F51=U51), AND(G51&gt;F51, G51=V51))), 18, IF(SIGN(F51-G51)=SIGN(U51-V51), 12, IF(OR(F51=U51, G51=V51), 5, 0)))))</f>
        <v/>
      </c>
      <c r="X51" s="16">
        <f>IF(OR(ISBLANK(F51), ISBLANK(U51)), 0, IF(F51=U51, 3, 0))</f>
        <v/>
      </c>
      <c r="Y51" s="16">
        <f>IF(OR(ISBLANK(G51), ISBLANK(V51)), 0, IF(G51=V51, 3, 0))</f>
        <v/>
      </c>
      <c r="Z51" s="5">
        <f>SUM(W51:Y51)</f>
        <v/>
      </c>
      <c r="AA51" s="12" t="n"/>
      <c r="AB51" s="12" t="n"/>
      <c r="AC51" s="12">
        <f>IF(OR(ISBLANK(F51), ISBLANK(G51)), 0, IF(AND(F51=AA51, G51=AB51), 25, IF(AND(SIGN(F51-G51)=SIGN(AA51-AB51), OR(AND(F51&gt;G51, F51=AA51), AND(G51&gt;F51, G51=AB51))), 18, IF(SIGN(F51-G51)=SIGN(AA51-AB51), 12, IF(OR(F51=AA51, G51=AB51), 5, 0)))))</f>
        <v/>
      </c>
      <c r="AD51" s="16">
        <f>IF(OR(ISBLANK(F51), ISBLANK(AA51)), 0, IF(F51=AA51, 3, 0))</f>
        <v/>
      </c>
      <c r="AE51" s="16">
        <f>IF(OR(ISBLANK(G51), ISBLANK(AB51)), 0, IF(G51=AB51, 3, 0))</f>
        <v/>
      </c>
      <c r="AF51" s="5">
        <f>SUM(AC51:AE51)</f>
        <v/>
      </c>
      <c r="AG51" s="12" t="n"/>
      <c r="AH51" s="12" t="n"/>
      <c r="AI51" s="12">
        <f>IF(OR(ISBLANK(F51), ISBLANK(G51)), 0, IF(AND(F51=AG51, G51=AH51), 25, IF(AND(SIGN(F51-G51)=SIGN(AG51-AH51), OR(AND(F51&gt;G51, F51=AG51), AND(G51&gt;F51, G51=AH51))), 18, IF(SIGN(F51-G51)=SIGN(AG51-AH51), 12, IF(OR(F51=AG51, G51=AH51), 5, 0)))))</f>
        <v/>
      </c>
      <c r="AJ51" s="16">
        <f>IF(OR(ISBLANK(F51), ISBLANK(AG51)), 0, IF(F51=AG51, 3, 0))</f>
        <v/>
      </c>
      <c r="AK51" s="16">
        <f>IF(OR(ISBLANK(G51), ISBLANK(AH51)), 0, IF(G51=AH51, 3, 0))</f>
        <v/>
      </c>
      <c r="AL51" s="5">
        <f>SUM(AI51:AK51)</f>
        <v/>
      </c>
    </row>
    <row r="52">
      <c r="A52" s="12" t="n">
        <v>50</v>
      </c>
      <c r="B52" s="12" t="inlineStr">
        <is>
          <t>07/2026</t>
        </is>
      </c>
      <c r="C52" s="12" t="inlineStr">
        <is>
          <t>16:00</t>
        </is>
      </c>
      <c r="D52" s="13" t="inlineStr">
        <is>
          <t>Dezesseis-avos de Final</t>
        </is>
      </c>
      <c r="E52" s="14" t="inlineStr">
        <is>
          <t>Classificado 27</t>
        </is>
      </c>
      <c r="F52" s="15" t="inlineStr"/>
      <c r="G52" s="15" t="inlineStr"/>
      <c r="H52" s="13" t="inlineStr">
        <is>
          <t>Classificado 28</t>
        </is>
      </c>
      <c r="I52" s="12" t="n"/>
      <c r="J52" s="12" t="n"/>
      <c r="K52" s="12">
        <f>IF(OR(ISBLANK(F52), ISBLANK(G52)), 0, IF(AND(F52=I52, G52=J52), 25, IF(AND(SIGN(F52-G52)=SIGN(I52-J52), OR(AND(F52&gt;G52, F52=I52), AND(G52&gt;F52, G52=J52))), 18, IF(SIGN(F52-G52)=SIGN(I52-J52), 12, IF(OR(F52=I52, G52=J52), 5, 0)))))</f>
        <v/>
      </c>
      <c r="L52" s="16">
        <f>IF(OR(ISBLANK(F52), ISBLANK(I52)), 0, IF(F52=I52, 3, 0))</f>
        <v/>
      </c>
      <c r="M52" s="16">
        <f>IF(OR(ISBLANK(G52), ISBLANK(J52)), 0, IF(G52=J52, 3, 0))</f>
        <v/>
      </c>
      <c r="N52" s="5">
        <f>SUM(K52:M52)</f>
        <v/>
      </c>
      <c r="O52" s="12" t="n"/>
      <c r="P52" s="12" t="n"/>
      <c r="Q52" s="12">
        <f>IF(OR(ISBLANK(F52), ISBLANK(G52)), 0, IF(AND(F52=O52, G52=P52), 25, IF(AND(SIGN(F52-G52)=SIGN(O52-P52), OR(AND(F52&gt;G52, F52=O52), AND(G52&gt;F52, G52=P52))), 18, IF(SIGN(F52-G52)=SIGN(O52-P52), 12, IF(OR(F52=O52, G52=P52), 5, 0)))))</f>
        <v/>
      </c>
      <c r="R52" s="16">
        <f>IF(OR(ISBLANK(F52), ISBLANK(O52)), 0, IF(F52=O52, 3, 0))</f>
        <v/>
      </c>
      <c r="S52" s="16">
        <f>IF(OR(ISBLANK(G52), ISBLANK(P52)), 0, IF(G52=P52, 3, 0))</f>
        <v/>
      </c>
      <c r="T52" s="5">
        <f>SUM(Q52:S52)</f>
        <v/>
      </c>
      <c r="U52" s="12" t="n"/>
      <c r="V52" s="12" t="n"/>
      <c r="W52" s="12">
        <f>IF(OR(ISBLANK(F52), ISBLANK(G52)), 0, IF(AND(F52=U52, G52=V52), 25, IF(AND(SIGN(F52-G52)=SIGN(U52-V52), OR(AND(F52&gt;G52, F52=U52), AND(G52&gt;F52, G52=V52))), 18, IF(SIGN(F52-G52)=SIGN(U52-V52), 12, IF(OR(F52=U52, G52=V52), 5, 0)))))</f>
        <v/>
      </c>
      <c r="X52" s="16">
        <f>IF(OR(ISBLANK(F52), ISBLANK(U52)), 0, IF(F52=U52, 3, 0))</f>
        <v/>
      </c>
      <c r="Y52" s="16">
        <f>IF(OR(ISBLANK(G52), ISBLANK(V52)), 0, IF(G52=V52, 3, 0))</f>
        <v/>
      </c>
      <c r="Z52" s="5">
        <f>SUM(W52:Y52)</f>
        <v/>
      </c>
      <c r="AA52" s="12" t="n"/>
      <c r="AB52" s="12" t="n"/>
      <c r="AC52" s="12">
        <f>IF(OR(ISBLANK(F52), ISBLANK(G52)), 0, IF(AND(F52=AA52, G52=AB52), 25, IF(AND(SIGN(F52-G52)=SIGN(AA52-AB52), OR(AND(F52&gt;G52, F52=AA52), AND(G52&gt;F52, G52=AB52))), 18, IF(SIGN(F52-G52)=SIGN(AA52-AB52), 12, IF(OR(F52=AA52, G52=AB52), 5, 0)))))</f>
        <v/>
      </c>
      <c r="AD52" s="16">
        <f>IF(OR(ISBLANK(F52), ISBLANK(AA52)), 0, IF(F52=AA52, 3, 0))</f>
        <v/>
      </c>
      <c r="AE52" s="16">
        <f>IF(OR(ISBLANK(G52), ISBLANK(AB52)), 0, IF(G52=AB52, 3, 0))</f>
        <v/>
      </c>
      <c r="AF52" s="5">
        <f>SUM(AC52:AE52)</f>
        <v/>
      </c>
      <c r="AG52" s="12" t="n"/>
      <c r="AH52" s="12" t="n"/>
      <c r="AI52" s="12">
        <f>IF(OR(ISBLANK(F52), ISBLANK(G52)), 0, IF(AND(F52=AG52, G52=AH52), 25, IF(AND(SIGN(F52-G52)=SIGN(AG52-AH52), OR(AND(F52&gt;G52, F52=AG52), AND(G52&gt;F52, G52=AH52))), 18, IF(SIGN(F52-G52)=SIGN(AG52-AH52), 12, IF(OR(F52=AG52, G52=AH52), 5, 0)))))</f>
        <v/>
      </c>
      <c r="AJ52" s="16">
        <f>IF(OR(ISBLANK(F52), ISBLANK(AG52)), 0, IF(F52=AG52, 3, 0))</f>
        <v/>
      </c>
      <c r="AK52" s="16">
        <f>IF(OR(ISBLANK(G52), ISBLANK(AH52)), 0, IF(G52=AH52, 3, 0))</f>
        <v/>
      </c>
      <c r="AL52" s="5">
        <f>SUM(AI52:AK52)</f>
        <v/>
      </c>
    </row>
    <row r="53">
      <c r="A53" s="12" t="n">
        <v>51</v>
      </c>
      <c r="B53" s="12" t="inlineStr">
        <is>
          <t>07/2026</t>
        </is>
      </c>
      <c r="C53" s="12" t="inlineStr">
        <is>
          <t>16:00</t>
        </is>
      </c>
      <c r="D53" s="13" t="inlineStr">
        <is>
          <t>Dezesseis-avos de Final</t>
        </is>
      </c>
      <c r="E53" s="14" t="inlineStr">
        <is>
          <t>Classificado 29</t>
        </is>
      </c>
      <c r="F53" s="15" t="inlineStr"/>
      <c r="G53" s="15" t="inlineStr"/>
      <c r="H53" s="13" t="inlineStr">
        <is>
          <t>Classificado 30</t>
        </is>
      </c>
      <c r="I53" s="12" t="n"/>
      <c r="J53" s="12" t="n"/>
      <c r="K53" s="12">
        <f>IF(OR(ISBLANK(F53), ISBLANK(G53)), 0, IF(AND(F53=I53, G53=J53), 25, IF(AND(SIGN(F53-G53)=SIGN(I53-J53), OR(AND(F53&gt;G53, F53=I53), AND(G53&gt;F53, G53=J53))), 18, IF(SIGN(F53-G53)=SIGN(I53-J53), 12, IF(OR(F53=I53, G53=J53), 5, 0)))))</f>
        <v/>
      </c>
      <c r="L53" s="16">
        <f>IF(OR(ISBLANK(F53), ISBLANK(I53)), 0, IF(F53=I53, 3, 0))</f>
        <v/>
      </c>
      <c r="M53" s="16">
        <f>IF(OR(ISBLANK(G53), ISBLANK(J53)), 0, IF(G53=J53, 3, 0))</f>
        <v/>
      </c>
      <c r="N53" s="5">
        <f>SUM(K53:M53)</f>
        <v/>
      </c>
      <c r="O53" s="12" t="n"/>
      <c r="P53" s="12" t="n"/>
      <c r="Q53" s="12">
        <f>IF(OR(ISBLANK(F53), ISBLANK(G53)), 0, IF(AND(F53=O53, G53=P53), 25, IF(AND(SIGN(F53-G53)=SIGN(O53-P53), OR(AND(F53&gt;G53, F53=O53), AND(G53&gt;F53, G53=P53))), 18, IF(SIGN(F53-G53)=SIGN(O53-P53), 12, IF(OR(F53=O53, G53=P53), 5, 0)))))</f>
        <v/>
      </c>
      <c r="R53" s="16">
        <f>IF(OR(ISBLANK(F53), ISBLANK(O53)), 0, IF(F53=O53, 3, 0))</f>
        <v/>
      </c>
      <c r="S53" s="16">
        <f>IF(OR(ISBLANK(G53), ISBLANK(P53)), 0, IF(G53=P53, 3, 0))</f>
        <v/>
      </c>
      <c r="T53" s="5">
        <f>SUM(Q53:S53)</f>
        <v/>
      </c>
      <c r="U53" s="12" t="n"/>
      <c r="V53" s="12" t="n"/>
      <c r="W53" s="12">
        <f>IF(OR(ISBLANK(F53), ISBLANK(G53)), 0, IF(AND(F53=U53, G53=V53), 25, IF(AND(SIGN(F53-G53)=SIGN(U53-V53), OR(AND(F53&gt;G53, F53=U53), AND(G53&gt;F53, G53=V53))), 18, IF(SIGN(F53-G53)=SIGN(U53-V53), 12, IF(OR(F53=U53, G53=V53), 5, 0)))))</f>
        <v/>
      </c>
      <c r="X53" s="16">
        <f>IF(OR(ISBLANK(F53), ISBLANK(U53)), 0, IF(F53=U53, 3, 0))</f>
        <v/>
      </c>
      <c r="Y53" s="16">
        <f>IF(OR(ISBLANK(G53), ISBLANK(V53)), 0, IF(G53=V53, 3, 0))</f>
        <v/>
      </c>
      <c r="Z53" s="5">
        <f>SUM(W53:Y53)</f>
        <v/>
      </c>
      <c r="AA53" s="12" t="n"/>
      <c r="AB53" s="12" t="n"/>
      <c r="AC53" s="12">
        <f>IF(OR(ISBLANK(F53), ISBLANK(G53)), 0, IF(AND(F53=AA53, G53=AB53), 25, IF(AND(SIGN(F53-G53)=SIGN(AA53-AB53), OR(AND(F53&gt;G53, F53=AA53), AND(G53&gt;F53, G53=AB53))), 18, IF(SIGN(F53-G53)=SIGN(AA53-AB53), 12, IF(OR(F53=AA53, G53=AB53), 5, 0)))))</f>
        <v/>
      </c>
      <c r="AD53" s="16">
        <f>IF(OR(ISBLANK(F53), ISBLANK(AA53)), 0, IF(F53=AA53, 3, 0))</f>
        <v/>
      </c>
      <c r="AE53" s="16">
        <f>IF(OR(ISBLANK(G53), ISBLANK(AB53)), 0, IF(G53=AB53, 3, 0))</f>
        <v/>
      </c>
      <c r="AF53" s="5">
        <f>SUM(AC53:AE53)</f>
        <v/>
      </c>
      <c r="AG53" s="12" t="n"/>
      <c r="AH53" s="12" t="n"/>
      <c r="AI53" s="12">
        <f>IF(OR(ISBLANK(F53), ISBLANK(G53)), 0, IF(AND(F53=AG53, G53=AH53), 25, IF(AND(SIGN(F53-G53)=SIGN(AG53-AH53), OR(AND(F53&gt;G53, F53=AG53), AND(G53&gt;F53, G53=AH53))), 18, IF(SIGN(F53-G53)=SIGN(AG53-AH53), 12, IF(OR(F53=AG53, G53=AH53), 5, 0)))))</f>
        <v/>
      </c>
      <c r="AJ53" s="16">
        <f>IF(OR(ISBLANK(F53), ISBLANK(AG53)), 0, IF(F53=AG53, 3, 0))</f>
        <v/>
      </c>
      <c r="AK53" s="16">
        <f>IF(OR(ISBLANK(G53), ISBLANK(AH53)), 0, IF(G53=AH53, 3, 0))</f>
        <v/>
      </c>
      <c r="AL53" s="5">
        <f>SUM(AI53:AK53)</f>
        <v/>
      </c>
    </row>
    <row r="54">
      <c r="A54" s="12" t="n">
        <v>52</v>
      </c>
      <c r="B54" s="12" t="inlineStr">
        <is>
          <t>07/2026</t>
        </is>
      </c>
      <c r="C54" s="12" t="inlineStr">
        <is>
          <t>16:00</t>
        </is>
      </c>
      <c r="D54" s="13" t="inlineStr">
        <is>
          <t>Dezesseis-avos de Final</t>
        </is>
      </c>
      <c r="E54" s="14" t="inlineStr">
        <is>
          <t>Classificado 31</t>
        </is>
      </c>
      <c r="F54" s="15" t="inlineStr"/>
      <c r="G54" s="15" t="inlineStr"/>
      <c r="H54" s="13" t="inlineStr">
        <is>
          <t>Classificado 32</t>
        </is>
      </c>
      <c r="I54" s="12" t="n"/>
      <c r="J54" s="12" t="n"/>
      <c r="K54" s="12">
        <f>IF(OR(ISBLANK(F54), ISBLANK(G54)), 0, IF(AND(F54=I54, G54=J54), 25, IF(AND(SIGN(F54-G54)=SIGN(I54-J54), OR(AND(F54&gt;G54, F54=I54), AND(G54&gt;F54, G54=J54))), 18, IF(SIGN(F54-G54)=SIGN(I54-J54), 12, IF(OR(F54=I54, G54=J54), 5, 0)))))</f>
        <v/>
      </c>
      <c r="L54" s="16">
        <f>IF(OR(ISBLANK(F54), ISBLANK(I54)), 0, IF(F54=I54, 3, 0))</f>
        <v/>
      </c>
      <c r="M54" s="16">
        <f>IF(OR(ISBLANK(G54), ISBLANK(J54)), 0, IF(G54=J54, 3, 0))</f>
        <v/>
      </c>
      <c r="N54" s="5">
        <f>SUM(K54:M54)</f>
        <v/>
      </c>
      <c r="O54" s="12" t="n"/>
      <c r="P54" s="12" t="n"/>
      <c r="Q54" s="12">
        <f>IF(OR(ISBLANK(F54), ISBLANK(G54)), 0, IF(AND(F54=O54, G54=P54), 25, IF(AND(SIGN(F54-G54)=SIGN(O54-P54), OR(AND(F54&gt;G54, F54=O54), AND(G54&gt;F54, G54=P54))), 18, IF(SIGN(F54-G54)=SIGN(O54-P54), 12, IF(OR(F54=O54, G54=P54), 5, 0)))))</f>
        <v/>
      </c>
      <c r="R54" s="16">
        <f>IF(OR(ISBLANK(F54), ISBLANK(O54)), 0, IF(F54=O54, 3, 0))</f>
        <v/>
      </c>
      <c r="S54" s="16">
        <f>IF(OR(ISBLANK(G54), ISBLANK(P54)), 0, IF(G54=P54, 3, 0))</f>
        <v/>
      </c>
      <c r="T54" s="5">
        <f>SUM(Q54:S54)</f>
        <v/>
      </c>
      <c r="U54" s="12" t="n"/>
      <c r="V54" s="12" t="n"/>
      <c r="W54" s="12">
        <f>IF(OR(ISBLANK(F54), ISBLANK(G54)), 0, IF(AND(F54=U54, G54=V54), 25, IF(AND(SIGN(F54-G54)=SIGN(U54-V54), OR(AND(F54&gt;G54, F54=U54), AND(G54&gt;F54, G54=V54))), 18, IF(SIGN(F54-G54)=SIGN(U54-V54), 12, IF(OR(F54=U54, G54=V54), 5, 0)))))</f>
        <v/>
      </c>
      <c r="X54" s="16">
        <f>IF(OR(ISBLANK(F54), ISBLANK(U54)), 0, IF(F54=U54, 3, 0))</f>
        <v/>
      </c>
      <c r="Y54" s="16">
        <f>IF(OR(ISBLANK(G54), ISBLANK(V54)), 0, IF(G54=V54, 3, 0))</f>
        <v/>
      </c>
      <c r="Z54" s="5">
        <f>SUM(W54:Y54)</f>
        <v/>
      </c>
      <c r="AA54" s="12" t="n"/>
      <c r="AB54" s="12" t="n"/>
      <c r="AC54" s="12">
        <f>IF(OR(ISBLANK(F54), ISBLANK(G54)), 0, IF(AND(F54=AA54, G54=AB54), 25, IF(AND(SIGN(F54-G54)=SIGN(AA54-AB54), OR(AND(F54&gt;G54, F54=AA54), AND(G54&gt;F54, G54=AB54))), 18, IF(SIGN(F54-G54)=SIGN(AA54-AB54), 12, IF(OR(F54=AA54, G54=AB54), 5, 0)))))</f>
        <v/>
      </c>
      <c r="AD54" s="16">
        <f>IF(OR(ISBLANK(F54), ISBLANK(AA54)), 0, IF(F54=AA54, 3, 0))</f>
        <v/>
      </c>
      <c r="AE54" s="16">
        <f>IF(OR(ISBLANK(G54), ISBLANK(AB54)), 0, IF(G54=AB54, 3, 0))</f>
        <v/>
      </c>
      <c r="AF54" s="5">
        <f>SUM(AC54:AE54)</f>
        <v/>
      </c>
      <c r="AG54" s="12" t="n"/>
      <c r="AH54" s="12" t="n"/>
      <c r="AI54" s="12">
        <f>IF(OR(ISBLANK(F54), ISBLANK(G54)), 0, IF(AND(F54=AG54, G54=AH54), 25, IF(AND(SIGN(F54-G54)=SIGN(AG54-AH54), OR(AND(F54&gt;G54, F54=AG54), AND(G54&gt;F54, G54=AH54))), 18, IF(SIGN(F54-G54)=SIGN(AG54-AH54), 12, IF(OR(F54=AG54, G54=AH54), 5, 0)))))</f>
        <v/>
      </c>
      <c r="AJ54" s="16">
        <f>IF(OR(ISBLANK(F54), ISBLANK(AG54)), 0, IF(F54=AG54, 3, 0))</f>
        <v/>
      </c>
      <c r="AK54" s="16">
        <f>IF(OR(ISBLANK(G54), ISBLANK(AH54)), 0, IF(G54=AH54, 3, 0))</f>
        <v/>
      </c>
      <c r="AL54" s="5">
        <f>SUM(AI54:AK54)</f>
        <v/>
      </c>
    </row>
    <row r="55">
      <c r="A55" s="12" t="n">
        <v>53</v>
      </c>
      <c r="B55" s="12" t="inlineStr">
        <is>
          <t>07/2026</t>
        </is>
      </c>
      <c r="C55" s="12" t="inlineStr">
        <is>
          <t>16:00</t>
        </is>
      </c>
      <c r="D55" s="13" t="inlineStr">
        <is>
          <t>Oitavas de Final</t>
        </is>
      </c>
      <c r="E55" s="14" t="inlineStr">
        <is>
          <t>Classificado 1</t>
        </is>
      </c>
      <c r="F55" s="15" t="inlineStr"/>
      <c r="G55" s="15" t="inlineStr"/>
      <c r="H55" s="13" t="inlineStr">
        <is>
          <t>Classificado 2</t>
        </is>
      </c>
      <c r="I55" s="12" t="n"/>
      <c r="J55" s="12" t="n"/>
      <c r="K55" s="12">
        <f>IF(OR(ISBLANK(F55), ISBLANK(G55)), 0, IF(AND(F55=I55, G55=J55), 25, IF(AND(SIGN(F55-G55)=SIGN(I55-J55), OR(AND(F55&gt;G55, F55=I55), AND(G55&gt;F55, G55=J55))), 18, IF(SIGN(F55-G55)=SIGN(I55-J55), 12, IF(OR(F55=I55, G55=J55), 5, 0)))))</f>
        <v/>
      </c>
      <c r="L55" s="16">
        <f>IF(OR(ISBLANK(F55), ISBLANK(I55)), 0, IF(F55=I55, 3, 0))</f>
        <v/>
      </c>
      <c r="M55" s="16">
        <f>IF(OR(ISBLANK(G55), ISBLANK(J55)), 0, IF(G55=J55, 3, 0))</f>
        <v/>
      </c>
      <c r="N55" s="5">
        <f>SUM(K55:M55)</f>
        <v/>
      </c>
      <c r="O55" s="12" t="n"/>
      <c r="P55" s="12" t="n"/>
      <c r="Q55" s="12">
        <f>IF(OR(ISBLANK(F55), ISBLANK(G55)), 0, IF(AND(F55=O55, G55=P55), 25, IF(AND(SIGN(F55-G55)=SIGN(O55-P55), OR(AND(F55&gt;G55, F55=O55), AND(G55&gt;F55, G55=P55))), 18, IF(SIGN(F55-G55)=SIGN(O55-P55), 12, IF(OR(F55=O55, G55=P55), 5, 0)))))</f>
        <v/>
      </c>
      <c r="R55" s="16">
        <f>IF(OR(ISBLANK(F55), ISBLANK(O55)), 0, IF(F55=O55, 3, 0))</f>
        <v/>
      </c>
      <c r="S55" s="16">
        <f>IF(OR(ISBLANK(G55), ISBLANK(P55)), 0, IF(G55=P55, 3, 0))</f>
        <v/>
      </c>
      <c r="T55" s="5">
        <f>SUM(Q55:S55)</f>
        <v/>
      </c>
      <c r="U55" s="12" t="n"/>
      <c r="V55" s="12" t="n"/>
      <c r="W55" s="12">
        <f>IF(OR(ISBLANK(F55), ISBLANK(G55)), 0, IF(AND(F55=U55, G55=V55), 25, IF(AND(SIGN(F55-G55)=SIGN(U55-V55), OR(AND(F55&gt;G55, F55=U55), AND(G55&gt;F55, G55=V55))), 18, IF(SIGN(F55-G55)=SIGN(U55-V55), 12, IF(OR(F55=U55, G55=V55), 5, 0)))))</f>
        <v/>
      </c>
      <c r="X55" s="16">
        <f>IF(OR(ISBLANK(F55), ISBLANK(U55)), 0, IF(F55=U55, 3, 0))</f>
        <v/>
      </c>
      <c r="Y55" s="16">
        <f>IF(OR(ISBLANK(G55), ISBLANK(V55)), 0, IF(G55=V55, 3, 0))</f>
        <v/>
      </c>
      <c r="Z55" s="5">
        <f>SUM(W55:Y55)</f>
        <v/>
      </c>
      <c r="AA55" s="12" t="n"/>
      <c r="AB55" s="12" t="n"/>
      <c r="AC55" s="12">
        <f>IF(OR(ISBLANK(F55), ISBLANK(G55)), 0, IF(AND(F55=AA55, G55=AB55), 25, IF(AND(SIGN(F55-G55)=SIGN(AA55-AB55), OR(AND(F55&gt;G55, F55=AA55), AND(G55&gt;F55, G55=AB55))), 18, IF(SIGN(F55-G55)=SIGN(AA55-AB55), 12, IF(OR(F55=AA55, G55=AB55), 5, 0)))))</f>
        <v/>
      </c>
      <c r="AD55" s="16">
        <f>IF(OR(ISBLANK(F55), ISBLANK(AA55)), 0, IF(F55=AA55, 3, 0))</f>
        <v/>
      </c>
      <c r="AE55" s="16">
        <f>IF(OR(ISBLANK(G55), ISBLANK(AB55)), 0, IF(G55=AB55, 3, 0))</f>
        <v/>
      </c>
      <c r="AF55" s="5">
        <f>SUM(AC55:AE55)</f>
        <v/>
      </c>
      <c r="AG55" s="12" t="n"/>
      <c r="AH55" s="12" t="n"/>
      <c r="AI55" s="12">
        <f>IF(OR(ISBLANK(F55), ISBLANK(G55)), 0, IF(AND(F55=AG55, G55=AH55), 25, IF(AND(SIGN(F55-G55)=SIGN(AG55-AH55), OR(AND(F55&gt;G55, F55=AG55), AND(G55&gt;F55, G55=AH55))), 18, IF(SIGN(F55-G55)=SIGN(AG55-AH55), 12, IF(OR(F55=AG55, G55=AH55), 5, 0)))))</f>
        <v/>
      </c>
      <c r="AJ55" s="16">
        <f>IF(OR(ISBLANK(F55), ISBLANK(AG55)), 0, IF(F55=AG55, 3, 0))</f>
        <v/>
      </c>
      <c r="AK55" s="16">
        <f>IF(OR(ISBLANK(G55), ISBLANK(AH55)), 0, IF(G55=AH55, 3, 0))</f>
        <v/>
      </c>
      <c r="AL55" s="5">
        <f>SUM(AI55:AK55)</f>
        <v/>
      </c>
    </row>
    <row r="56">
      <c r="A56" s="12" t="n">
        <v>54</v>
      </c>
      <c r="B56" s="12" t="inlineStr">
        <is>
          <t>07/2026</t>
        </is>
      </c>
      <c r="C56" s="12" t="inlineStr">
        <is>
          <t>16:00</t>
        </is>
      </c>
      <c r="D56" s="13" t="inlineStr">
        <is>
          <t>Oitavas de Final</t>
        </is>
      </c>
      <c r="E56" s="14" t="inlineStr">
        <is>
          <t>Classificado 3</t>
        </is>
      </c>
      <c r="F56" s="15" t="inlineStr"/>
      <c r="G56" s="15" t="inlineStr"/>
      <c r="H56" s="13" t="inlineStr">
        <is>
          <t>Classificado 4</t>
        </is>
      </c>
      <c r="I56" s="12" t="n"/>
      <c r="J56" s="12" t="n"/>
      <c r="K56" s="12">
        <f>IF(OR(ISBLANK(F56), ISBLANK(G56)), 0, IF(AND(F56=I56, G56=J56), 25, IF(AND(SIGN(F56-G56)=SIGN(I56-J56), OR(AND(F56&gt;G56, F56=I56), AND(G56&gt;F56, G56=J56))), 18, IF(SIGN(F56-G56)=SIGN(I56-J56), 12, IF(OR(F56=I56, G56=J56), 5, 0)))))</f>
        <v/>
      </c>
      <c r="L56" s="16">
        <f>IF(OR(ISBLANK(F56), ISBLANK(I56)), 0, IF(F56=I56, 3, 0))</f>
        <v/>
      </c>
      <c r="M56" s="16">
        <f>IF(OR(ISBLANK(G56), ISBLANK(J56)), 0, IF(G56=J56, 3, 0))</f>
        <v/>
      </c>
      <c r="N56" s="5">
        <f>SUM(K56:M56)</f>
        <v/>
      </c>
      <c r="O56" s="12" t="n"/>
      <c r="P56" s="12" t="n"/>
      <c r="Q56" s="12">
        <f>IF(OR(ISBLANK(F56), ISBLANK(G56)), 0, IF(AND(F56=O56, G56=P56), 25, IF(AND(SIGN(F56-G56)=SIGN(O56-P56), OR(AND(F56&gt;G56, F56=O56), AND(G56&gt;F56, G56=P56))), 18, IF(SIGN(F56-G56)=SIGN(O56-P56), 12, IF(OR(F56=O56, G56=P56), 5, 0)))))</f>
        <v/>
      </c>
      <c r="R56" s="16">
        <f>IF(OR(ISBLANK(F56), ISBLANK(O56)), 0, IF(F56=O56, 3, 0))</f>
        <v/>
      </c>
      <c r="S56" s="16">
        <f>IF(OR(ISBLANK(G56), ISBLANK(P56)), 0, IF(G56=P56, 3, 0))</f>
        <v/>
      </c>
      <c r="T56" s="5">
        <f>SUM(Q56:S56)</f>
        <v/>
      </c>
      <c r="U56" s="12" t="n"/>
      <c r="V56" s="12" t="n"/>
      <c r="W56" s="12">
        <f>IF(OR(ISBLANK(F56), ISBLANK(G56)), 0, IF(AND(F56=U56, G56=V56), 25, IF(AND(SIGN(F56-G56)=SIGN(U56-V56), OR(AND(F56&gt;G56, F56=U56), AND(G56&gt;F56, G56=V56))), 18, IF(SIGN(F56-G56)=SIGN(U56-V56), 12, IF(OR(F56=U56, G56=V56), 5, 0)))))</f>
        <v/>
      </c>
      <c r="X56" s="16">
        <f>IF(OR(ISBLANK(F56), ISBLANK(U56)), 0, IF(F56=U56, 3, 0))</f>
        <v/>
      </c>
      <c r="Y56" s="16">
        <f>IF(OR(ISBLANK(G56), ISBLANK(V56)), 0, IF(G56=V56, 3, 0))</f>
        <v/>
      </c>
      <c r="Z56" s="5">
        <f>SUM(W56:Y56)</f>
        <v/>
      </c>
      <c r="AA56" s="12" t="n"/>
      <c r="AB56" s="12" t="n"/>
      <c r="AC56" s="12">
        <f>IF(OR(ISBLANK(F56), ISBLANK(G56)), 0, IF(AND(F56=AA56, G56=AB56), 25, IF(AND(SIGN(F56-G56)=SIGN(AA56-AB56), OR(AND(F56&gt;G56, F56=AA56), AND(G56&gt;F56, G56=AB56))), 18, IF(SIGN(F56-G56)=SIGN(AA56-AB56), 12, IF(OR(F56=AA56, G56=AB56), 5, 0)))))</f>
        <v/>
      </c>
      <c r="AD56" s="16">
        <f>IF(OR(ISBLANK(F56), ISBLANK(AA56)), 0, IF(F56=AA56, 3, 0))</f>
        <v/>
      </c>
      <c r="AE56" s="16">
        <f>IF(OR(ISBLANK(G56), ISBLANK(AB56)), 0, IF(G56=AB56, 3, 0))</f>
        <v/>
      </c>
      <c r="AF56" s="5">
        <f>SUM(AC56:AE56)</f>
        <v/>
      </c>
      <c r="AG56" s="12" t="n"/>
      <c r="AH56" s="12" t="n"/>
      <c r="AI56" s="12">
        <f>IF(OR(ISBLANK(F56), ISBLANK(G56)), 0, IF(AND(F56=AG56, G56=AH56), 25, IF(AND(SIGN(F56-G56)=SIGN(AG56-AH56), OR(AND(F56&gt;G56, F56=AG56), AND(G56&gt;F56, G56=AH56))), 18, IF(SIGN(F56-G56)=SIGN(AG56-AH56), 12, IF(OR(F56=AG56, G56=AH56), 5, 0)))))</f>
        <v/>
      </c>
      <c r="AJ56" s="16">
        <f>IF(OR(ISBLANK(F56), ISBLANK(AG56)), 0, IF(F56=AG56, 3, 0))</f>
        <v/>
      </c>
      <c r="AK56" s="16">
        <f>IF(OR(ISBLANK(G56), ISBLANK(AH56)), 0, IF(G56=AH56, 3, 0))</f>
        <v/>
      </c>
      <c r="AL56" s="5">
        <f>SUM(AI56:AK56)</f>
        <v/>
      </c>
    </row>
    <row r="57">
      <c r="A57" s="12" t="n">
        <v>55</v>
      </c>
      <c r="B57" s="12" t="inlineStr">
        <is>
          <t>07/2026</t>
        </is>
      </c>
      <c r="C57" s="12" t="inlineStr">
        <is>
          <t>16:00</t>
        </is>
      </c>
      <c r="D57" s="13" t="inlineStr">
        <is>
          <t>Oitavas de Final</t>
        </is>
      </c>
      <c r="E57" s="14" t="inlineStr">
        <is>
          <t>Classificado 5</t>
        </is>
      </c>
      <c r="F57" s="15" t="inlineStr"/>
      <c r="G57" s="15" t="inlineStr"/>
      <c r="H57" s="13" t="inlineStr">
        <is>
          <t>Classificado 6</t>
        </is>
      </c>
      <c r="I57" s="12" t="n"/>
      <c r="J57" s="12" t="n"/>
      <c r="K57" s="12">
        <f>IF(OR(ISBLANK(F57), ISBLANK(G57)), 0, IF(AND(F57=I57, G57=J57), 25, IF(AND(SIGN(F57-G57)=SIGN(I57-J57), OR(AND(F57&gt;G57, F57=I57), AND(G57&gt;F57, G57=J57))), 18, IF(SIGN(F57-G57)=SIGN(I57-J57), 12, IF(OR(F57=I57, G57=J57), 5, 0)))))</f>
        <v/>
      </c>
      <c r="L57" s="16">
        <f>IF(OR(ISBLANK(F57), ISBLANK(I57)), 0, IF(F57=I57, 3, 0))</f>
        <v/>
      </c>
      <c r="M57" s="16">
        <f>IF(OR(ISBLANK(G57), ISBLANK(J57)), 0, IF(G57=J57, 3, 0))</f>
        <v/>
      </c>
      <c r="N57" s="5">
        <f>SUM(K57:M57)</f>
        <v/>
      </c>
      <c r="O57" s="12" t="n"/>
      <c r="P57" s="12" t="n"/>
      <c r="Q57" s="12">
        <f>IF(OR(ISBLANK(F57), ISBLANK(G57)), 0, IF(AND(F57=O57, G57=P57), 25, IF(AND(SIGN(F57-G57)=SIGN(O57-P57), OR(AND(F57&gt;G57, F57=O57), AND(G57&gt;F57, G57=P57))), 18, IF(SIGN(F57-G57)=SIGN(O57-P57), 12, IF(OR(F57=O57, G57=P57), 5, 0)))))</f>
        <v/>
      </c>
      <c r="R57" s="16">
        <f>IF(OR(ISBLANK(F57), ISBLANK(O57)), 0, IF(F57=O57, 3, 0))</f>
        <v/>
      </c>
      <c r="S57" s="16">
        <f>IF(OR(ISBLANK(G57), ISBLANK(P57)), 0, IF(G57=P57, 3, 0))</f>
        <v/>
      </c>
      <c r="T57" s="5">
        <f>SUM(Q57:S57)</f>
        <v/>
      </c>
      <c r="U57" s="12" t="n"/>
      <c r="V57" s="12" t="n"/>
      <c r="W57" s="12">
        <f>IF(OR(ISBLANK(F57), ISBLANK(G57)), 0, IF(AND(F57=U57, G57=V57), 25, IF(AND(SIGN(F57-G57)=SIGN(U57-V57), OR(AND(F57&gt;G57, F57=U57), AND(G57&gt;F57, G57=V57))), 18, IF(SIGN(F57-G57)=SIGN(U57-V57), 12, IF(OR(F57=U57, G57=V57), 5, 0)))))</f>
        <v/>
      </c>
      <c r="X57" s="16">
        <f>IF(OR(ISBLANK(F57), ISBLANK(U57)), 0, IF(F57=U57, 3, 0))</f>
        <v/>
      </c>
      <c r="Y57" s="16">
        <f>IF(OR(ISBLANK(G57), ISBLANK(V57)), 0, IF(G57=V57, 3, 0))</f>
        <v/>
      </c>
      <c r="Z57" s="5">
        <f>SUM(W57:Y57)</f>
        <v/>
      </c>
      <c r="AA57" s="12" t="n"/>
      <c r="AB57" s="12" t="n"/>
      <c r="AC57" s="12">
        <f>IF(OR(ISBLANK(F57), ISBLANK(G57)), 0, IF(AND(F57=AA57, G57=AB57), 25, IF(AND(SIGN(F57-G57)=SIGN(AA57-AB57), OR(AND(F57&gt;G57, F57=AA57), AND(G57&gt;F57, G57=AB57))), 18, IF(SIGN(F57-G57)=SIGN(AA57-AB57), 12, IF(OR(F57=AA57, G57=AB57), 5, 0)))))</f>
        <v/>
      </c>
      <c r="AD57" s="16">
        <f>IF(OR(ISBLANK(F57), ISBLANK(AA57)), 0, IF(F57=AA57, 3, 0))</f>
        <v/>
      </c>
      <c r="AE57" s="16">
        <f>IF(OR(ISBLANK(G57), ISBLANK(AB57)), 0, IF(G57=AB57, 3, 0))</f>
        <v/>
      </c>
      <c r="AF57" s="5">
        <f>SUM(AC57:AE57)</f>
        <v/>
      </c>
      <c r="AG57" s="12" t="n"/>
      <c r="AH57" s="12" t="n"/>
      <c r="AI57" s="12">
        <f>IF(OR(ISBLANK(F57), ISBLANK(G57)), 0, IF(AND(F57=AG57, G57=AH57), 25, IF(AND(SIGN(F57-G57)=SIGN(AG57-AH57), OR(AND(F57&gt;G57, F57=AG57), AND(G57&gt;F57, G57=AH57))), 18, IF(SIGN(F57-G57)=SIGN(AG57-AH57), 12, IF(OR(F57=AG57, G57=AH57), 5, 0)))))</f>
        <v/>
      </c>
      <c r="AJ57" s="16">
        <f>IF(OR(ISBLANK(F57), ISBLANK(AG57)), 0, IF(F57=AG57, 3, 0))</f>
        <v/>
      </c>
      <c r="AK57" s="16">
        <f>IF(OR(ISBLANK(G57), ISBLANK(AH57)), 0, IF(G57=AH57, 3, 0))</f>
        <v/>
      </c>
      <c r="AL57" s="5">
        <f>SUM(AI57:AK57)</f>
        <v/>
      </c>
    </row>
    <row r="58">
      <c r="A58" s="12" t="n">
        <v>56</v>
      </c>
      <c r="B58" s="12" t="inlineStr">
        <is>
          <t>07/2026</t>
        </is>
      </c>
      <c r="C58" s="12" t="inlineStr">
        <is>
          <t>16:00</t>
        </is>
      </c>
      <c r="D58" s="13" t="inlineStr">
        <is>
          <t>Oitavas de Final</t>
        </is>
      </c>
      <c r="E58" s="14" t="inlineStr">
        <is>
          <t>Classificado 7</t>
        </is>
      </c>
      <c r="F58" s="15" t="inlineStr"/>
      <c r="G58" s="15" t="inlineStr"/>
      <c r="H58" s="13" t="inlineStr">
        <is>
          <t>Classificado 8</t>
        </is>
      </c>
      <c r="I58" s="12" t="n"/>
      <c r="J58" s="12" t="n"/>
      <c r="K58" s="12">
        <f>IF(OR(ISBLANK(F58), ISBLANK(G58)), 0, IF(AND(F58=I58, G58=J58), 25, IF(AND(SIGN(F58-G58)=SIGN(I58-J58), OR(AND(F58&gt;G58, F58=I58), AND(G58&gt;F58, G58=J58))), 18, IF(SIGN(F58-G58)=SIGN(I58-J58), 12, IF(OR(F58=I58, G58=J58), 5, 0)))))</f>
        <v/>
      </c>
      <c r="L58" s="16">
        <f>IF(OR(ISBLANK(F58), ISBLANK(I58)), 0, IF(F58=I58, 3, 0))</f>
        <v/>
      </c>
      <c r="M58" s="16">
        <f>IF(OR(ISBLANK(G58), ISBLANK(J58)), 0, IF(G58=J58, 3, 0))</f>
        <v/>
      </c>
      <c r="N58" s="5">
        <f>SUM(K58:M58)</f>
        <v/>
      </c>
      <c r="O58" s="12" t="n"/>
      <c r="P58" s="12" t="n"/>
      <c r="Q58" s="12">
        <f>IF(OR(ISBLANK(F58), ISBLANK(G58)), 0, IF(AND(F58=O58, G58=P58), 25, IF(AND(SIGN(F58-G58)=SIGN(O58-P58), OR(AND(F58&gt;G58, F58=O58), AND(G58&gt;F58, G58=P58))), 18, IF(SIGN(F58-G58)=SIGN(O58-P58), 12, IF(OR(F58=O58, G58=P58), 5, 0)))))</f>
        <v/>
      </c>
      <c r="R58" s="16">
        <f>IF(OR(ISBLANK(F58), ISBLANK(O58)), 0, IF(F58=O58, 3, 0))</f>
        <v/>
      </c>
      <c r="S58" s="16">
        <f>IF(OR(ISBLANK(G58), ISBLANK(P58)), 0, IF(G58=P58, 3, 0))</f>
        <v/>
      </c>
      <c r="T58" s="5">
        <f>SUM(Q58:S58)</f>
        <v/>
      </c>
      <c r="U58" s="12" t="n"/>
      <c r="V58" s="12" t="n"/>
      <c r="W58" s="12">
        <f>IF(OR(ISBLANK(F58), ISBLANK(G58)), 0, IF(AND(F58=U58, G58=V58), 25, IF(AND(SIGN(F58-G58)=SIGN(U58-V58), OR(AND(F58&gt;G58, F58=U58), AND(G58&gt;F58, G58=V58))), 18, IF(SIGN(F58-G58)=SIGN(U58-V58), 12, IF(OR(F58=U58, G58=V58), 5, 0)))))</f>
        <v/>
      </c>
      <c r="X58" s="16">
        <f>IF(OR(ISBLANK(F58), ISBLANK(U58)), 0, IF(F58=U58, 3, 0))</f>
        <v/>
      </c>
      <c r="Y58" s="16">
        <f>IF(OR(ISBLANK(G58), ISBLANK(V58)), 0, IF(G58=V58, 3, 0))</f>
        <v/>
      </c>
      <c r="Z58" s="5">
        <f>SUM(W58:Y58)</f>
        <v/>
      </c>
      <c r="AA58" s="12" t="n"/>
      <c r="AB58" s="12" t="n"/>
      <c r="AC58" s="12">
        <f>IF(OR(ISBLANK(F58), ISBLANK(G58)), 0, IF(AND(F58=AA58, G58=AB58), 25, IF(AND(SIGN(F58-G58)=SIGN(AA58-AB58), OR(AND(F58&gt;G58, F58=AA58), AND(G58&gt;F58, G58=AB58))), 18, IF(SIGN(F58-G58)=SIGN(AA58-AB58), 12, IF(OR(F58=AA58, G58=AB58), 5, 0)))))</f>
        <v/>
      </c>
      <c r="AD58" s="16">
        <f>IF(OR(ISBLANK(F58), ISBLANK(AA58)), 0, IF(F58=AA58, 3, 0))</f>
        <v/>
      </c>
      <c r="AE58" s="16">
        <f>IF(OR(ISBLANK(G58), ISBLANK(AB58)), 0, IF(G58=AB58, 3, 0))</f>
        <v/>
      </c>
      <c r="AF58" s="5">
        <f>SUM(AC58:AE58)</f>
        <v/>
      </c>
      <c r="AG58" s="12" t="n"/>
      <c r="AH58" s="12" t="n"/>
      <c r="AI58" s="12">
        <f>IF(OR(ISBLANK(F58), ISBLANK(G58)), 0, IF(AND(F58=AG58, G58=AH58), 25, IF(AND(SIGN(F58-G58)=SIGN(AG58-AH58), OR(AND(F58&gt;G58, F58=AG58), AND(G58&gt;F58, G58=AH58))), 18, IF(SIGN(F58-G58)=SIGN(AG58-AH58), 12, IF(OR(F58=AG58, G58=AH58), 5, 0)))))</f>
        <v/>
      </c>
      <c r="AJ58" s="16">
        <f>IF(OR(ISBLANK(F58), ISBLANK(AG58)), 0, IF(F58=AG58, 3, 0))</f>
        <v/>
      </c>
      <c r="AK58" s="16">
        <f>IF(OR(ISBLANK(G58), ISBLANK(AH58)), 0, IF(G58=AH58, 3, 0))</f>
        <v/>
      </c>
      <c r="AL58" s="5">
        <f>SUM(AI58:AK58)</f>
        <v/>
      </c>
    </row>
    <row r="59">
      <c r="A59" s="12" t="n">
        <v>57</v>
      </c>
      <c r="B59" s="12" t="inlineStr">
        <is>
          <t>07/2026</t>
        </is>
      </c>
      <c r="C59" s="12" t="inlineStr">
        <is>
          <t>16:00</t>
        </is>
      </c>
      <c r="D59" s="13" t="inlineStr">
        <is>
          <t>Oitavas de Final</t>
        </is>
      </c>
      <c r="E59" s="14" t="inlineStr">
        <is>
          <t>Classificado 9</t>
        </is>
      </c>
      <c r="F59" s="15" t="inlineStr"/>
      <c r="G59" s="15" t="inlineStr"/>
      <c r="H59" s="13" t="inlineStr">
        <is>
          <t>Classificado 10</t>
        </is>
      </c>
      <c r="I59" s="12" t="n"/>
      <c r="J59" s="12" t="n"/>
      <c r="K59" s="12">
        <f>IF(OR(ISBLANK(F59), ISBLANK(G59)), 0, IF(AND(F59=I59, G59=J59), 25, IF(AND(SIGN(F59-G59)=SIGN(I59-J59), OR(AND(F59&gt;G59, F59=I59), AND(G59&gt;F59, G59=J59))), 18, IF(SIGN(F59-G59)=SIGN(I59-J59), 12, IF(OR(F59=I59, G59=J59), 5, 0)))))</f>
        <v/>
      </c>
      <c r="L59" s="16">
        <f>IF(OR(ISBLANK(F59), ISBLANK(I59)), 0, IF(F59=I59, 3, 0))</f>
        <v/>
      </c>
      <c r="M59" s="16">
        <f>IF(OR(ISBLANK(G59), ISBLANK(J59)), 0, IF(G59=J59, 3, 0))</f>
        <v/>
      </c>
      <c r="N59" s="5">
        <f>SUM(K59:M59)</f>
        <v/>
      </c>
      <c r="O59" s="12" t="n"/>
      <c r="P59" s="12" t="n"/>
      <c r="Q59" s="12">
        <f>IF(OR(ISBLANK(F59), ISBLANK(G59)), 0, IF(AND(F59=O59, G59=P59), 25, IF(AND(SIGN(F59-G59)=SIGN(O59-P59), OR(AND(F59&gt;G59, F59=O59), AND(G59&gt;F59, G59=P59))), 18, IF(SIGN(F59-G59)=SIGN(O59-P59), 12, IF(OR(F59=O59, G59=P59), 5, 0)))))</f>
        <v/>
      </c>
      <c r="R59" s="16">
        <f>IF(OR(ISBLANK(F59), ISBLANK(O59)), 0, IF(F59=O59, 3, 0))</f>
        <v/>
      </c>
      <c r="S59" s="16">
        <f>IF(OR(ISBLANK(G59), ISBLANK(P59)), 0, IF(G59=P59, 3, 0))</f>
        <v/>
      </c>
      <c r="T59" s="5">
        <f>SUM(Q59:S59)</f>
        <v/>
      </c>
      <c r="U59" s="12" t="n"/>
      <c r="V59" s="12" t="n"/>
      <c r="W59" s="12">
        <f>IF(OR(ISBLANK(F59), ISBLANK(G59)), 0, IF(AND(F59=U59, G59=V59), 25, IF(AND(SIGN(F59-G59)=SIGN(U59-V59), OR(AND(F59&gt;G59, F59=U59), AND(G59&gt;F59, G59=V59))), 18, IF(SIGN(F59-G59)=SIGN(U59-V59), 12, IF(OR(F59=U59, G59=V59), 5, 0)))))</f>
        <v/>
      </c>
      <c r="X59" s="16">
        <f>IF(OR(ISBLANK(F59), ISBLANK(U59)), 0, IF(F59=U59, 3, 0))</f>
        <v/>
      </c>
      <c r="Y59" s="16">
        <f>IF(OR(ISBLANK(G59), ISBLANK(V59)), 0, IF(G59=V59, 3, 0))</f>
        <v/>
      </c>
      <c r="Z59" s="5">
        <f>SUM(W59:Y59)</f>
        <v/>
      </c>
      <c r="AA59" s="12" t="n"/>
      <c r="AB59" s="12" t="n"/>
      <c r="AC59" s="12">
        <f>IF(OR(ISBLANK(F59), ISBLANK(G59)), 0, IF(AND(F59=AA59, G59=AB59), 25, IF(AND(SIGN(F59-G59)=SIGN(AA59-AB59), OR(AND(F59&gt;G59, F59=AA59), AND(G59&gt;F59, G59=AB59))), 18, IF(SIGN(F59-G59)=SIGN(AA59-AB59), 12, IF(OR(F59=AA59, G59=AB59), 5, 0)))))</f>
        <v/>
      </c>
      <c r="AD59" s="16">
        <f>IF(OR(ISBLANK(F59), ISBLANK(AA59)), 0, IF(F59=AA59, 3, 0))</f>
        <v/>
      </c>
      <c r="AE59" s="16">
        <f>IF(OR(ISBLANK(G59), ISBLANK(AB59)), 0, IF(G59=AB59, 3, 0))</f>
        <v/>
      </c>
      <c r="AF59" s="5">
        <f>SUM(AC59:AE59)</f>
        <v/>
      </c>
      <c r="AG59" s="12" t="n"/>
      <c r="AH59" s="12" t="n"/>
      <c r="AI59" s="12">
        <f>IF(OR(ISBLANK(F59), ISBLANK(G59)), 0, IF(AND(F59=AG59, G59=AH59), 25, IF(AND(SIGN(F59-G59)=SIGN(AG59-AH59), OR(AND(F59&gt;G59, F59=AG59), AND(G59&gt;F59, G59=AH59))), 18, IF(SIGN(F59-G59)=SIGN(AG59-AH59), 12, IF(OR(F59=AG59, G59=AH59), 5, 0)))))</f>
        <v/>
      </c>
      <c r="AJ59" s="16">
        <f>IF(OR(ISBLANK(F59), ISBLANK(AG59)), 0, IF(F59=AG59, 3, 0))</f>
        <v/>
      </c>
      <c r="AK59" s="16">
        <f>IF(OR(ISBLANK(G59), ISBLANK(AH59)), 0, IF(G59=AH59, 3, 0))</f>
        <v/>
      </c>
      <c r="AL59" s="5">
        <f>SUM(AI59:AK59)</f>
        <v/>
      </c>
    </row>
    <row r="60">
      <c r="A60" s="12" t="n">
        <v>58</v>
      </c>
      <c r="B60" s="12" t="inlineStr">
        <is>
          <t>07/2026</t>
        </is>
      </c>
      <c r="C60" s="12" t="inlineStr">
        <is>
          <t>16:00</t>
        </is>
      </c>
      <c r="D60" s="13" t="inlineStr">
        <is>
          <t>Oitavas de Final</t>
        </is>
      </c>
      <c r="E60" s="14" t="inlineStr">
        <is>
          <t>Classificado 11</t>
        </is>
      </c>
      <c r="F60" s="15" t="inlineStr"/>
      <c r="G60" s="15" t="inlineStr"/>
      <c r="H60" s="13" t="inlineStr">
        <is>
          <t>Classificado 12</t>
        </is>
      </c>
      <c r="I60" s="12" t="n"/>
      <c r="J60" s="12" t="n"/>
      <c r="K60" s="12">
        <f>IF(OR(ISBLANK(F60), ISBLANK(G60)), 0, IF(AND(F60=I60, G60=J60), 25, IF(AND(SIGN(F60-G60)=SIGN(I60-J60), OR(AND(F60&gt;G60, F60=I60), AND(G60&gt;F60, G60=J60))), 18, IF(SIGN(F60-G60)=SIGN(I60-J60), 12, IF(OR(F60=I60, G60=J60), 5, 0)))))</f>
        <v/>
      </c>
      <c r="L60" s="16">
        <f>IF(OR(ISBLANK(F60), ISBLANK(I60)), 0, IF(F60=I60, 3, 0))</f>
        <v/>
      </c>
      <c r="M60" s="16">
        <f>IF(OR(ISBLANK(G60), ISBLANK(J60)), 0, IF(G60=J60, 3, 0))</f>
        <v/>
      </c>
      <c r="N60" s="5">
        <f>SUM(K60:M60)</f>
        <v/>
      </c>
      <c r="O60" s="12" t="n"/>
      <c r="P60" s="12" t="n"/>
      <c r="Q60" s="12">
        <f>IF(OR(ISBLANK(F60), ISBLANK(G60)), 0, IF(AND(F60=O60, G60=P60), 25, IF(AND(SIGN(F60-G60)=SIGN(O60-P60), OR(AND(F60&gt;G60, F60=O60), AND(G60&gt;F60, G60=P60))), 18, IF(SIGN(F60-G60)=SIGN(O60-P60), 12, IF(OR(F60=O60, G60=P60), 5, 0)))))</f>
        <v/>
      </c>
      <c r="R60" s="16">
        <f>IF(OR(ISBLANK(F60), ISBLANK(O60)), 0, IF(F60=O60, 3, 0))</f>
        <v/>
      </c>
      <c r="S60" s="16">
        <f>IF(OR(ISBLANK(G60), ISBLANK(P60)), 0, IF(G60=P60, 3, 0))</f>
        <v/>
      </c>
      <c r="T60" s="5">
        <f>SUM(Q60:S60)</f>
        <v/>
      </c>
      <c r="U60" s="12" t="n"/>
      <c r="V60" s="12" t="n"/>
      <c r="W60" s="12">
        <f>IF(OR(ISBLANK(F60), ISBLANK(G60)), 0, IF(AND(F60=U60, G60=V60), 25, IF(AND(SIGN(F60-G60)=SIGN(U60-V60), OR(AND(F60&gt;G60, F60=U60), AND(G60&gt;F60, G60=V60))), 18, IF(SIGN(F60-G60)=SIGN(U60-V60), 12, IF(OR(F60=U60, G60=V60), 5, 0)))))</f>
        <v/>
      </c>
      <c r="X60" s="16">
        <f>IF(OR(ISBLANK(F60), ISBLANK(U60)), 0, IF(F60=U60, 3, 0))</f>
        <v/>
      </c>
      <c r="Y60" s="16">
        <f>IF(OR(ISBLANK(G60), ISBLANK(V60)), 0, IF(G60=V60, 3, 0))</f>
        <v/>
      </c>
      <c r="Z60" s="5">
        <f>SUM(W60:Y60)</f>
        <v/>
      </c>
      <c r="AA60" s="12" t="n"/>
      <c r="AB60" s="12" t="n"/>
      <c r="AC60" s="12">
        <f>IF(OR(ISBLANK(F60), ISBLANK(G60)), 0, IF(AND(F60=AA60, G60=AB60), 25, IF(AND(SIGN(F60-G60)=SIGN(AA60-AB60), OR(AND(F60&gt;G60, F60=AA60), AND(G60&gt;F60, G60=AB60))), 18, IF(SIGN(F60-G60)=SIGN(AA60-AB60), 12, IF(OR(F60=AA60, G60=AB60), 5, 0)))))</f>
        <v/>
      </c>
      <c r="AD60" s="16">
        <f>IF(OR(ISBLANK(F60), ISBLANK(AA60)), 0, IF(F60=AA60, 3, 0))</f>
        <v/>
      </c>
      <c r="AE60" s="16">
        <f>IF(OR(ISBLANK(G60), ISBLANK(AB60)), 0, IF(G60=AB60, 3, 0))</f>
        <v/>
      </c>
      <c r="AF60" s="5">
        <f>SUM(AC60:AE60)</f>
        <v/>
      </c>
      <c r="AG60" s="12" t="n"/>
      <c r="AH60" s="12" t="n"/>
      <c r="AI60" s="12">
        <f>IF(OR(ISBLANK(F60), ISBLANK(G60)), 0, IF(AND(F60=AG60, G60=AH60), 25, IF(AND(SIGN(F60-G60)=SIGN(AG60-AH60), OR(AND(F60&gt;G60, F60=AG60), AND(G60&gt;F60, G60=AH60))), 18, IF(SIGN(F60-G60)=SIGN(AG60-AH60), 12, IF(OR(F60=AG60, G60=AH60), 5, 0)))))</f>
        <v/>
      </c>
      <c r="AJ60" s="16">
        <f>IF(OR(ISBLANK(F60), ISBLANK(AG60)), 0, IF(F60=AG60, 3, 0))</f>
        <v/>
      </c>
      <c r="AK60" s="16">
        <f>IF(OR(ISBLANK(G60), ISBLANK(AH60)), 0, IF(G60=AH60, 3, 0))</f>
        <v/>
      </c>
      <c r="AL60" s="5">
        <f>SUM(AI60:AK60)</f>
        <v/>
      </c>
    </row>
    <row r="61">
      <c r="A61" s="12" t="n">
        <v>59</v>
      </c>
      <c r="B61" s="12" t="inlineStr">
        <is>
          <t>07/2026</t>
        </is>
      </c>
      <c r="C61" s="12" t="inlineStr">
        <is>
          <t>16:00</t>
        </is>
      </c>
      <c r="D61" s="13" t="inlineStr">
        <is>
          <t>Oitavas de Final</t>
        </is>
      </c>
      <c r="E61" s="14" t="inlineStr">
        <is>
          <t>Classificado 13</t>
        </is>
      </c>
      <c r="F61" s="15" t="inlineStr"/>
      <c r="G61" s="15" t="inlineStr"/>
      <c r="H61" s="13" t="inlineStr">
        <is>
          <t>Classificado 14</t>
        </is>
      </c>
      <c r="I61" s="12" t="n"/>
      <c r="J61" s="12" t="n"/>
      <c r="K61" s="12">
        <f>IF(OR(ISBLANK(F61), ISBLANK(G61)), 0, IF(AND(F61=I61, G61=J61), 25, IF(AND(SIGN(F61-G61)=SIGN(I61-J61), OR(AND(F61&gt;G61, F61=I61), AND(G61&gt;F61, G61=J61))), 18, IF(SIGN(F61-G61)=SIGN(I61-J61), 12, IF(OR(F61=I61, G61=J61), 5, 0)))))</f>
        <v/>
      </c>
      <c r="L61" s="16">
        <f>IF(OR(ISBLANK(F61), ISBLANK(I61)), 0, IF(F61=I61, 3, 0))</f>
        <v/>
      </c>
      <c r="M61" s="16">
        <f>IF(OR(ISBLANK(G61), ISBLANK(J61)), 0, IF(G61=J61, 3, 0))</f>
        <v/>
      </c>
      <c r="N61" s="5">
        <f>SUM(K61:M61)</f>
        <v/>
      </c>
      <c r="O61" s="12" t="n"/>
      <c r="P61" s="12" t="n"/>
      <c r="Q61" s="12">
        <f>IF(OR(ISBLANK(F61), ISBLANK(G61)), 0, IF(AND(F61=O61, G61=P61), 25, IF(AND(SIGN(F61-G61)=SIGN(O61-P61), OR(AND(F61&gt;G61, F61=O61), AND(G61&gt;F61, G61=P61))), 18, IF(SIGN(F61-G61)=SIGN(O61-P61), 12, IF(OR(F61=O61, G61=P61), 5, 0)))))</f>
        <v/>
      </c>
      <c r="R61" s="16">
        <f>IF(OR(ISBLANK(F61), ISBLANK(O61)), 0, IF(F61=O61, 3, 0))</f>
        <v/>
      </c>
      <c r="S61" s="16">
        <f>IF(OR(ISBLANK(G61), ISBLANK(P61)), 0, IF(G61=P61, 3, 0))</f>
        <v/>
      </c>
      <c r="T61" s="5">
        <f>SUM(Q61:S61)</f>
        <v/>
      </c>
      <c r="U61" s="12" t="n"/>
      <c r="V61" s="12" t="n"/>
      <c r="W61" s="12">
        <f>IF(OR(ISBLANK(F61), ISBLANK(G61)), 0, IF(AND(F61=U61, G61=V61), 25, IF(AND(SIGN(F61-G61)=SIGN(U61-V61), OR(AND(F61&gt;G61, F61=U61), AND(G61&gt;F61, G61=V61))), 18, IF(SIGN(F61-G61)=SIGN(U61-V61), 12, IF(OR(F61=U61, G61=V61), 5, 0)))))</f>
        <v/>
      </c>
      <c r="X61" s="16">
        <f>IF(OR(ISBLANK(F61), ISBLANK(U61)), 0, IF(F61=U61, 3, 0))</f>
        <v/>
      </c>
      <c r="Y61" s="16">
        <f>IF(OR(ISBLANK(G61), ISBLANK(V61)), 0, IF(G61=V61, 3, 0))</f>
        <v/>
      </c>
      <c r="Z61" s="5">
        <f>SUM(W61:Y61)</f>
        <v/>
      </c>
      <c r="AA61" s="12" t="n"/>
      <c r="AB61" s="12" t="n"/>
      <c r="AC61" s="12">
        <f>IF(OR(ISBLANK(F61), ISBLANK(G61)), 0, IF(AND(F61=AA61, G61=AB61), 25, IF(AND(SIGN(F61-G61)=SIGN(AA61-AB61), OR(AND(F61&gt;G61, F61=AA61), AND(G61&gt;F61, G61=AB61))), 18, IF(SIGN(F61-G61)=SIGN(AA61-AB61), 12, IF(OR(F61=AA61, G61=AB61), 5, 0)))))</f>
        <v/>
      </c>
      <c r="AD61" s="16">
        <f>IF(OR(ISBLANK(F61), ISBLANK(AA61)), 0, IF(F61=AA61, 3, 0))</f>
        <v/>
      </c>
      <c r="AE61" s="16">
        <f>IF(OR(ISBLANK(G61), ISBLANK(AB61)), 0, IF(G61=AB61, 3, 0))</f>
        <v/>
      </c>
      <c r="AF61" s="5">
        <f>SUM(AC61:AE61)</f>
        <v/>
      </c>
      <c r="AG61" s="12" t="n"/>
      <c r="AH61" s="12" t="n"/>
      <c r="AI61" s="12">
        <f>IF(OR(ISBLANK(F61), ISBLANK(G61)), 0, IF(AND(F61=AG61, G61=AH61), 25, IF(AND(SIGN(F61-G61)=SIGN(AG61-AH61), OR(AND(F61&gt;G61, F61=AG61), AND(G61&gt;F61, G61=AH61))), 18, IF(SIGN(F61-G61)=SIGN(AG61-AH61), 12, IF(OR(F61=AG61, G61=AH61), 5, 0)))))</f>
        <v/>
      </c>
      <c r="AJ61" s="16">
        <f>IF(OR(ISBLANK(F61), ISBLANK(AG61)), 0, IF(F61=AG61, 3, 0))</f>
        <v/>
      </c>
      <c r="AK61" s="16">
        <f>IF(OR(ISBLANK(G61), ISBLANK(AH61)), 0, IF(G61=AH61, 3, 0))</f>
        <v/>
      </c>
      <c r="AL61" s="5">
        <f>SUM(AI61:AK61)</f>
        <v/>
      </c>
    </row>
    <row r="62">
      <c r="A62" s="12" t="n">
        <v>60</v>
      </c>
      <c r="B62" s="12" t="inlineStr">
        <is>
          <t>07/2026</t>
        </is>
      </c>
      <c r="C62" s="12" t="inlineStr">
        <is>
          <t>16:00</t>
        </is>
      </c>
      <c r="D62" s="13" t="inlineStr">
        <is>
          <t>Oitavas de Final</t>
        </is>
      </c>
      <c r="E62" s="14" t="inlineStr">
        <is>
          <t>Classificado 15</t>
        </is>
      </c>
      <c r="F62" s="15" t="inlineStr"/>
      <c r="G62" s="15" t="inlineStr"/>
      <c r="H62" s="13" t="inlineStr">
        <is>
          <t>Classificado 16</t>
        </is>
      </c>
      <c r="I62" s="12" t="n"/>
      <c r="J62" s="12" t="n"/>
      <c r="K62" s="12">
        <f>IF(OR(ISBLANK(F62), ISBLANK(G62)), 0, IF(AND(F62=I62, G62=J62), 25, IF(AND(SIGN(F62-G62)=SIGN(I62-J62), OR(AND(F62&gt;G62, F62=I62), AND(G62&gt;F62, G62=J62))), 18, IF(SIGN(F62-G62)=SIGN(I62-J62), 12, IF(OR(F62=I62, G62=J62), 5, 0)))))</f>
        <v/>
      </c>
      <c r="L62" s="16">
        <f>IF(OR(ISBLANK(F62), ISBLANK(I62)), 0, IF(F62=I62, 3, 0))</f>
        <v/>
      </c>
      <c r="M62" s="16">
        <f>IF(OR(ISBLANK(G62), ISBLANK(J62)), 0, IF(G62=J62, 3, 0))</f>
        <v/>
      </c>
      <c r="N62" s="5">
        <f>SUM(K62:M62)</f>
        <v/>
      </c>
      <c r="O62" s="12" t="n"/>
      <c r="P62" s="12" t="n"/>
      <c r="Q62" s="12">
        <f>IF(OR(ISBLANK(F62), ISBLANK(G62)), 0, IF(AND(F62=O62, G62=P62), 25, IF(AND(SIGN(F62-G62)=SIGN(O62-P62), OR(AND(F62&gt;G62, F62=O62), AND(G62&gt;F62, G62=P62))), 18, IF(SIGN(F62-G62)=SIGN(O62-P62), 12, IF(OR(F62=O62, G62=P62), 5, 0)))))</f>
        <v/>
      </c>
      <c r="R62" s="16">
        <f>IF(OR(ISBLANK(F62), ISBLANK(O62)), 0, IF(F62=O62, 3, 0))</f>
        <v/>
      </c>
      <c r="S62" s="16">
        <f>IF(OR(ISBLANK(G62), ISBLANK(P62)), 0, IF(G62=P62, 3, 0))</f>
        <v/>
      </c>
      <c r="T62" s="5">
        <f>SUM(Q62:S62)</f>
        <v/>
      </c>
      <c r="U62" s="12" t="n"/>
      <c r="V62" s="12" t="n"/>
      <c r="W62" s="12">
        <f>IF(OR(ISBLANK(F62), ISBLANK(G62)), 0, IF(AND(F62=U62, G62=V62), 25, IF(AND(SIGN(F62-G62)=SIGN(U62-V62), OR(AND(F62&gt;G62, F62=U62), AND(G62&gt;F62, G62=V62))), 18, IF(SIGN(F62-G62)=SIGN(U62-V62), 12, IF(OR(F62=U62, G62=V62), 5, 0)))))</f>
        <v/>
      </c>
      <c r="X62" s="16">
        <f>IF(OR(ISBLANK(F62), ISBLANK(U62)), 0, IF(F62=U62, 3, 0))</f>
        <v/>
      </c>
      <c r="Y62" s="16">
        <f>IF(OR(ISBLANK(G62), ISBLANK(V62)), 0, IF(G62=V62, 3, 0))</f>
        <v/>
      </c>
      <c r="Z62" s="5">
        <f>SUM(W62:Y62)</f>
        <v/>
      </c>
      <c r="AA62" s="12" t="n"/>
      <c r="AB62" s="12" t="n"/>
      <c r="AC62" s="12">
        <f>IF(OR(ISBLANK(F62), ISBLANK(G62)), 0, IF(AND(F62=AA62, G62=AB62), 25, IF(AND(SIGN(F62-G62)=SIGN(AA62-AB62), OR(AND(F62&gt;G62, F62=AA62), AND(G62&gt;F62, G62=AB62))), 18, IF(SIGN(F62-G62)=SIGN(AA62-AB62), 12, IF(OR(F62=AA62, G62=AB62), 5, 0)))))</f>
        <v/>
      </c>
      <c r="AD62" s="16">
        <f>IF(OR(ISBLANK(F62), ISBLANK(AA62)), 0, IF(F62=AA62, 3, 0))</f>
        <v/>
      </c>
      <c r="AE62" s="16">
        <f>IF(OR(ISBLANK(G62), ISBLANK(AB62)), 0, IF(G62=AB62, 3, 0))</f>
        <v/>
      </c>
      <c r="AF62" s="5">
        <f>SUM(AC62:AE62)</f>
        <v/>
      </c>
      <c r="AG62" s="12" t="n"/>
      <c r="AH62" s="12" t="n"/>
      <c r="AI62" s="12">
        <f>IF(OR(ISBLANK(F62), ISBLANK(G62)), 0, IF(AND(F62=AG62, G62=AH62), 25, IF(AND(SIGN(F62-G62)=SIGN(AG62-AH62), OR(AND(F62&gt;G62, F62=AG62), AND(G62&gt;F62, G62=AH62))), 18, IF(SIGN(F62-G62)=SIGN(AG62-AH62), 12, IF(OR(F62=AG62, G62=AH62), 5, 0)))))</f>
        <v/>
      </c>
      <c r="AJ62" s="16">
        <f>IF(OR(ISBLANK(F62), ISBLANK(AG62)), 0, IF(F62=AG62, 3, 0))</f>
        <v/>
      </c>
      <c r="AK62" s="16">
        <f>IF(OR(ISBLANK(G62), ISBLANK(AH62)), 0, IF(G62=AH62, 3, 0))</f>
        <v/>
      </c>
      <c r="AL62" s="5">
        <f>SUM(AI62:AK62)</f>
        <v/>
      </c>
    </row>
    <row r="63">
      <c r="A63" s="12" t="n">
        <v>61</v>
      </c>
      <c r="B63" s="12" t="inlineStr">
        <is>
          <t>07/2026</t>
        </is>
      </c>
      <c r="C63" s="12" t="inlineStr">
        <is>
          <t>16:00</t>
        </is>
      </c>
      <c r="D63" s="13" t="inlineStr">
        <is>
          <t>Quartas de Final</t>
        </is>
      </c>
      <c r="E63" s="14" t="inlineStr">
        <is>
          <t>Classificado 1</t>
        </is>
      </c>
      <c r="F63" s="15" t="inlineStr"/>
      <c r="G63" s="15" t="inlineStr"/>
      <c r="H63" s="13" t="inlineStr">
        <is>
          <t>Classificado 2</t>
        </is>
      </c>
      <c r="I63" s="12" t="n"/>
      <c r="J63" s="12" t="n"/>
      <c r="K63" s="12">
        <f>IF(OR(ISBLANK(F63), ISBLANK(G63)), 0, IF(AND(F63=I63, G63=J63), 25, IF(AND(SIGN(F63-G63)=SIGN(I63-J63), OR(AND(F63&gt;G63, F63=I63), AND(G63&gt;F63, G63=J63))), 18, IF(SIGN(F63-G63)=SIGN(I63-J63), 12, IF(OR(F63=I63, G63=J63), 5, 0)))))</f>
        <v/>
      </c>
      <c r="L63" s="16">
        <f>IF(OR(ISBLANK(F63), ISBLANK(I63)), 0, IF(F63=I63, 3, 0))</f>
        <v/>
      </c>
      <c r="M63" s="16">
        <f>IF(OR(ISBLANK(G63), ISBLANK(J63)), 0, IF(G63=J63, 3, 0))</f>
        <v/>
      </c>
      <c r="N63" s="5">
        <f>SUM(K63:M63)</f>
        <v/>
      </c>
      <c r="O63" s="12" t="n"/>
      <c r="P63" s="12" t="n"/>
      <c r="Q63" s="12">
        <f>IF(OR(ISBLANK(F63), ISBLANK(G63)), 0, IF(AND(F63=O63, G63=P63), 25, IF(AND(SIGN(F63-G63)=SIGN(O63-P63), OR(AND(F63&gt;G63, F63=O63), AND(G63&gt;F63, G63=P63))), 18, IF(SIGN(F63-G63)=SIGN(O63-P63), 12, IF(OR(F63=O63, G63=P63), 5, 0)))))</f>
        <v/>
      </c>
      <c r="R63" s="16">
        <f>IF(OR(ISBLANK(F63), ISBLANK(O63)), 0, IF(F63=O63, 3, 0))</f>
        <v/>
      </c>
      <c r="S63" s="16">
        <f>IF(OR(ISBLANK(G63), ISBLANK(P63)), 0, IF(G63=P63, 3, 0))</f>
        <v/>
      </c>
      <c r="T63" s="5">
        <f>SUM(Q63:S63)</f>
        <v/>
      </c>
      <c r="U63" s="12" t="n"/>
      <c r="V63" s="12" t="n"/>
      <c r="W63" s="12">
        <f>IF(OR(ISBLANK(F63), ISBLANK(G63)), 0, IF(AND(F63=U63, G63=V63), 25, IF(AND(SIGN(F63-G63)=SIGN(U63-V63), OR(AND(F63&gt;G63, F63=U63), AND(G63&gt;F63, G63=V63))), 18, IF(SIGN(F63-G63)=SIGN(U63-V63), 12, IF(OR(F63=U63, G63=V63), 5, 0)))))</f>
        <v/>
      </c>
      <c r="X63" s="16">
        <f>IF(OR(ISBLANK(F63), ISBLANK(U63)), 0, IF(F63=U63, 3, 0))</f>
        <v/>
      </c>
      <c r="Y63" s="16">
        <f>IF(OR(ISBLANK(G63), ISBLANK(V63)), 0, IF(G63=V63, 3, 0))</f>
        <v/>
      </c>
      <c r="Z63" s="5">
        <f>SUM(W63:Y63)</f>
        <v/>
      </c>
      <c r="AA63" s="12" t="n"/>
      <c r="AB63" s="12" t="n"/>
      <c r="AC63" s="12">
        <f>IF(OR(ISBLANK(F63), ISBLANK(G63)), 0, IF(AND(F63=AA63, G63=AB63), 25, IF(AND(SIGN(F63-G63)=SIGN(AA63-AB63), OR(AND(F63&gt;G63, F63=AA63), AND(G63&gt;F63, G63=AB63))), 18, IF(SIGN(F63-G63)=SIGN(AA63-AB63), 12, IF(OR(F63=AA63, G63=AB63), 5, 0)))))</f>
        <v/>
      </c>
      <c r="AD63" s="16">
        <f>IF(OR(ISBLANK(F63), ISBLANK(AA63)), 0, IF(F63=AA63, 3, 0))</f>
        <v/>
      </c>
      <c r="AE63" s="16">
        <f>IF(OR(ISBLANK(G63), ISBLANK(AB63)), 0, IF(G63=AB63, 3, 0))</f>
        <v/>
      </c>
      <c r="AF63" s="5">
        <f>SUM(AC63:AE63)</f>
        <v/>
      </c>
      <c r="AG63" s="12" t="n"/>
      <c r="AH63" s="12" t="n"/>
      <c r="AI63" s="12">
        <f>IF(OR(ISBLANK(F63), ISBLANK(G63)), 0, IF(AND(F63=AG63, G63=AH63), 25, IF(AND(SIGN(F63-G63)=SIGN(AG63-AH63), OR(AND(F63&gt;G63, F63=AG63), AND(G63&gt;F63, G63=AH63))), 18, IF(SIGN(F63-G63)=SIGN(AG63-AH63), 12, IF(OR(F63=AG63, G63=AH63), 5, 0)))))</f>
        <v/>
      </c>
      <c r="AJ63" s="16">
        <f>IF(OR(ISBLANK(F63), ISBLANK(AG63)), 0, IF(F63=AG63, 3, 0))</f>
        <v/>
      </c>
      <c r="AK63" s="16">
        <f>IF(OR(ISBLANK(G63), ISBLANK(AH63)), 0, IF(G63=AH63, 3, 0))</f>
        <v/>
      </c>
      <c r="AL63" s="5">
        <f>SUM(AI63:AK63)</f>
        <v/>
      </c>
    </row>
    <row r="64">
      <c r="A64" s="12" t="n">
        <v>62</v>
      </c>
      <c r="B64" s="12" t="inlineStr">
        <is>
          <t>07/2026</t>
        </is>
      </c>
      <c r="C64" s="12" t="inlineStr">
        <is>
          <t>16:00</t>
        </is>
      </c>
      <c r="D64" s="13" t="inlineStr">
        <is>
          <t>Quartas de Final</t>
        </is>
      </c>
      <c r="E64" s="14" t="inlineStr">
        <is>
          <t>Classificado 3</t>
        </is>
      </c>
      <c r="F64" s="15" t="inlineStr"/>
      <c r="G64" s="15" t="inlineStr"/>
      <c r="H64" s="13" t="inlineStr">
        <is>
          <t>Classificado 4</t>
        </is>
      </c>
      <c r="I64" s="12" t="n"/>
      <c r="J64" s="12" t="n"/>
      <c r="K64" s="12">
        <f>IF(OR(ISBLANK(F64), ISBLANK(G64)), 0, IF(AND(F64=I64, G64=J64), 25, IF(AND(SIGN(F64-G64)=SIGN(I64-J64), OR(AND(F64&gt;G64, F64=I64), AND(G64&gt;F64, G64=J64))), 18, IF(SIGN(F64-G64)=SIGN(I64-J64), 12, IF(OR(F64=I64, G64=J64), 5, 0)))))</f>
        <v/>
      </c>
      <c r="L64" s="16">
        <f>IF(OR(ISBLANK(F64), ISBLANK(I64)), 0, IF(F64=I64, 3, 0))</f>
        <v/>
      </c>
      <c r="M64" s="16">
        <f>IF(OR(ISBLANK(G64), ISBLANK(J64)), 0, IF(G64=J64, 3, 0))</f>
        <v/>
      </c>
      <c r="N64" s="5">
        <f>SUM(K64:M64)</f>
        <v/>
      </c>
      <c r="O64" s="12" t="n"/>
      <c r="P64" s="12" t="n"/>
      <c r="Q64" s="12">
        <f>IF(OR(ISBLANK(F64), ISBLANK(G64)), 0, IF(AND(F64=O64, G64=P64), 25, IF(AND(SIGN(F64-G64)=SIGN(O64-P64), OR(AND(F64&gt;G64, F64=O64), AND(G64&gt;F64, G64=P64))), 18, IF(SIGN(F64-G64)=SIGN(O64-P64), 12, IF(OR(F64=O64, G64=P64), 5, 0)))))</f>
        <v/>
      </c>
      <c r="R64" s="16">
        <f>IF(OR(ISBLANK(F64), ISBLANK(O64)), 0, IF(F64=O64, 3, 0))</f>
        <v/>
      </c>
      <c r="S64" s="16">
        <f>IF(OR(ISBLANK(G64), ISBLANK(P64)), 0, IF(G64=P64, 3, 0))</f>
        <v/>
      </c>
      <c r="T64" s="5">
        <f>SUM(Q64:S64)</f>
        <v/>
      </c>
      <c r="U64" s="12" t="n"/>
      <c r="V64" s="12" t="n"/>
      <c r="W64" s="12">
        <f>IF(OR(ISBLANK(F64), ISBLANK(G64)), 0, IF(AND(F64=U64, G64=V64), 25, IF(AND(SIGN(F64-G64)=SIGN(U64-V64), OR(AND(F64&gt;G64, F64=U64), AND(G64&gt;F64, G64=V64))), 18, IF(SIGN(F64-G64)=SIGN(U64-V64), 12, IF(OR(F64=U64, G64=V64), 5, 0)))))</f>
        <v/>
      </c>
      <c r="X64" s="16">
        <f>IF(OR(ISBLANK(F64), ISBLANK(U64)), 0, IF(F64=U64, 3, 0))</f>
        <v/>
      </c>
      <c r="Y64" s="16">
        <f>IF(OR(ISBLANK(G64), ISBLANK(V64)), 0, IF(G64=V64, 3, 0))</f>
        <v/>
      </c>
      <c r="Z64" s="5">
        <f>SUM(W64:Y64)</f>
        <v/>
      </c>
      <c r="AA64" s="12" t="n"/>
      <c r="AB64" s="12" t="n"/>
      <c r="AC64" s="12">
        <f>IF(OR(ISBLANK(F64), ISBLANK(G64)), 0, IF(AND(F64=AA64, G64=AB64), 25, IF(AND(SIGN(F64-G64)=SIGN(AA64-AB64), OR(AND(F64&gt;G64, F64=AA64), AND(G64&gt;F64, G64=AB64))), 18, IF(SIGN(F64-G64)=SIGN(AA64-AB64), 12, IF(OR(F64=AA64, G64=AB64), 5, 0)))))</f>
        <v/>
      </c>
      <c r="AD64" s="16">
        <f>IF(OR(ISBLANK(F64), ISBLANK(AA64)), 0, IF(F64=AA64, 3, 0))</f>
        <v/>
      </c>
      <c r="AE64" s="16">
        <f>IF(OR(ISBLANK(G64), ISBLANK(AB64)), 0, IF(G64=AB64, 3, 0))</f>
        <v/>
      </c>
      <c r="AF64" s="5">
        <f>SUM(AC64:AE64)</f>
        <v/>
      </c>
      <c r="AG64" s="12" t="n"/>
      <c r="AH64" s="12" t="n"/>
      <c r="AI64" s="12">
        <f>IF(OR(ISBLANK(F64), ISBLANK(G64)), 0, IF(AND(F64=AG64, G64=AH64), 25, IF(AND(SIGN(F64-G64)=SIGN(AG64-AH64), OR(AND(F64&gt;G64, F64=AG64), AND(G64&gt;F64, G64=AH64))), 18, IF(SIGN(F64-G64)=SIGN(AG64-AH64), 12, IF(OR(F64=AG64, G64=AH64), 5, 0)))))</f>
        <v/>
      </c>
      <c r="AJ64" s="16">
        <f>IF(OR(ISBLANK(F64), ISBLANK(AG64)), 0, IF(F64=AG64, 3, 0))</f>
        <v/>
      </c>
      <c r="AK64" s="16">
        <f>IF(OR(ISBLANK(G64), ISBLANK(AH64)), 0, IF(G64=AH64, 3, 0))</f>
        <v/>
      </c>
      <c r="AL64" s="5">
        <f>SUM(AI64:AK64)</f>
        <v/>
      </c>
    </row>
    <row r="65">
      <c r="A65" s="12" t="n">
        <v>63</v>
      </c>
      <c r="B65" s="12" t="inlineStr">
        <is>
          <t>07/2026</t>
        </is>
      </c>
      <c r="C65" s="12" t="inlineStr">
        <is>
          <t>16:00</t>
        </is>
      </c>
      <c r="D65" s="13" t="inlineStr">
        <is>
          <t>Quartas de Final</t>
        </is>
      </c>
      <c r="E65" s="14" t="inlineStr">
        <is>
          <t>Classificado 5</t>
        </is>
      </c>
      <c r="F65" s="15" t="inlineStr"/>
      <c r="G65" s="15" t="inlineStr"/>
      <c r="H65" s="13" t="inlineStr">
        <is>
          <t>Classificado 6</t>
        </is>
      </c>
      <c r="I65" s="12" t="n"/>
      <c r="J65" s="12" t="n"/>
      <c r="K65" s="12">
        <f>IF(OR(ISBLANK(F65), ISBLANK(G65)), 0, IF(AND(F65=I65, G65=J65), 25, IF(AND(SIGN(F65-G65)=SIGN(I65-J65), OR(AND(F65&gt;G65, F65=I65), AND(G65&gt;F65, G65=J65))), 18, IF(SIGN(F65-G65)=SIGN(I65-J65), 12, IF(OR(F65=I65, G65=J65), 5, 0)))))</f>
        <v/>
      </c>
      <c r="L65" s="16">
        <f>IF(OR(ISBLANK(F65), ISBLANK(I65)), 0, IF(F65=I65, 3, 0))</f>
        <v/>
      </c>
      <c r="M65" s="16">
        <f>IF(OR(ISBLANK(G65), ISBLANK(J65)), 0, IF(G65=J65, 3, 0))</f>
        <v/>
      </c>
      <c r="N65" s="5">
        <f>SUM(K65:M65)</f>
        <v/>
      </c>
      <c r="O65" s="12" t="n"/>
      <c r="P65" s="12" t="n"/>
      <c r="Q65" s="12">
        <f>IF(OR(ISBLANK(F65), ISBLANK(G65)), 0, IF(AND(F65=O65, G65=P65), 25, IF(AND(SIGN(F65-G65)=SIGN(O65-P65), OR(AND(F65&gt;G65, F65=O65), AND(G65&gt;F65, G65=P65))), 18, IF(SIGN(F65-G65)=SIGN(O65-P65), 12, IF(OR(F65=O65, G65=P65), 5, 0)))))</f>
        <v/>
      </c>
      <c r="R65" s="16">
        <f>IF(OR(ISBLANK(F65), ISBLANK(O65)), 0, IF(F65=O65, 3, 0))</f>
        <v/>
      </c>
      <c r="S65" s="16">
        <f>IF(OR(ISBLANK(G65), ISBLANK(P65)), 0, IF(G65=P65, 3, 0))</f>
        <v/>
      </c>
      <c r="T65" s="5">
        <f>SUM(Q65:S65)</f>
        <v/>
      </c>
      <c r="U65" s="12" t="n"/>
      <c r="V65" s="12" t="n"/>
      <c r="W65" s="12">
        <f>IF(OR(ISBLANK(F65), ISBLANK(G65)), 0, IF(AND(F65=U65, G65=V65), 25, IF(AND(SIGN(F65-G65)=SIGN(U65-V65), OR(AND(F65&gt;G65, F65=U65), AND(G65&gt;F65, G65=V65))), 18, IF(SIGN(F65-G65)=SIGN(U65-V65), 12, IF(OR(F65=U65, G65=V65), 5, 0)))))</f>
        <v/>
      </c>
      <c r="X65" s="16">
        <f>IF(OR(ISBLANK(F65), ISBLANK(U65)), 0, IF(F65=U65, 3, 0))</f>
        <v/>
      </c>
      <c r="Y65" s="16">
        <f>IF(OR(ISBLANK(G65), ISBLANK(V65)), 0, IF(G65=V65, 3, 0))</f>
        <v/>
      </c>
      <c r="Z65" s="5">
        <f>SUM(W65:Y65)</f>
        <v/>
      </c>
      <c r="AA65" s="12" t="n"/>
      <c r="AB65" s="12" t="n"/>
      <c r="AC65" s="12">
        <f>IF(OR(ISBLANK(F65), ISBLANK(G65)), 0, IF(AND(F65=AA65, G65=AB65), 25, IF(AND(SIGN(F65-G65)=SIGN(AA65-AB65), OR(AND(F65&gt;G65, F65=AA65), AND(G65&gt;F65, G65=AB65))), 18, IF(SIGN(F65-G65)=SIGN(AA65-AB65), 12, IF(OR(F65=AA65, G65=AB65), 5, 0)))))</f>
        <v/>
      </c>
      <c r="AD65" s="16">
        <f>IF(OR(ISBLANK(F65), ISBLANK(AA65)), 0, IF(F65=AA65, 3, 0))</f>
        <v/>
      </c>
      <c r="AE65" s="16">
        <f>IF(OR(ISBLANK(G65), ISBLANK(AB65)), 0, IF(G65=AB65, 3, 0))</f>
        <v/>
      </c>
      <c r="AF65" s="5">
        <f>SUM(AC65:AE65)</f>
        <v/>
      </c>
      <c r="AG65" s="12" t="n"/>
      <c r="AH65" s="12" t="n"/>
      <c r="AI65" s="12">
        <f>IF(OR(ISBLANK(F65), ISBLANK(G65)), 0, IF(AND(F65=AG65, G65=AH65), 25, IF(AND(SIGN(F65-G65)=SIGN(AG65-AH65), OR(AND(F65&gt;G65, F65=AG65), AND(G65&gt;F65, G65=AH65))), 18, IF(SIGN(F65-G65)=SIGN(AG65-AH65), 12, IF(OR(F65=AG65, G65=AH65), 5, 0)))))</f>
        <v/>
      </c>
      <c r="AJ65" s="16">
        <f>IF(OR(ISBLANK(F65), ISBLANK(AG65)), 0, IF(F65=AG65, 3, 0))</f>
        <v/>
      </c>
      <c r="AK65" s="16">
        <f>IF(OR(ISBLANK(G65), ISBLANK(AH65)), 0, IF(G65=AH65, 3, 0))</f>
        <v/>
      </c>
      <c r="AL65" s="5">
        <f>SUM(AI65:AK65)</f>
        <v/>
      </c>
    </row>
    <row r="66">
      <c r="A66" s="12" t="n">
        <v>64</v>
      </c>
      <c r="B66" s="12" t="inlineStr">
        <is>
          <t>07/2026</t>
        </is>
      </c>
      <c r="C66" s="12" t="inlineStr">
        <is>
          <t>16:00</t>
        </is>
      </c>
      <c r="D66" s="13" t="inlineStr">
        <is>
          <t>Quartas de Final</t>
        </is>
      </c>
      <c r="E66" s="14" t="inlineStr">
        <is>
          <t>Classificado 7</t>
        </is>
      </c>
      <c r="F66" s="15" t="inlineStr"/>
      <c r="G66" s="15" t="inlineStr"/>
      <c r="H66" s="13" t="inlineStr">
        <is>
          <t>Classificado 8</t>
        </is>
      </c>
      <c r="I66" s="12" t="n"/>
      <c r="J66" s="12" t="n"/>
      <c r="K66" s="12">
        <f>IF(OR(ISBLANK(F66), ISBLANK(G66)), 0, IF(AND(F66=I66, G66=J66), 25, IF(AND(SIGN(F66-G66)=SIGN(I66-J66), OR(AND(F66&gt;G66, F66=I66), AND(G66&gt;F66, G66=J66))), 18, IF(SIGN(F66-G66)=SIGN(I66-J66), 12, IF(OR(F66=I66, G66=J66), 5, 0)))))</f>
        <v/>
      </c>
      <c r="L66" s="16">
        <f>IF(OR(ISBLANK(F66), ISBLANK(I66)), 0, IF(F66=I66, 3, 0))</f>
        <v/>
      </c>
      <c r="M66" s="16">
        <f>IF(OR(ISBLANK(G66), ISBLANK(J66)), 0, IF(G66=J66, 3, 0))</f>
        <v/>
      </c>
      <c r="N66" s="5">
        <f>SUM(K66:M66)</f>
        <v/>
      </c>
      <c r="O66" s="12" t="n"/>
      <c r="P66" s="12" t="n"/>
      <c r="Q66" s="12">
        <f>IF(OR(ISBLANK(F66), ISBLANK(G66)), 0, IF(AND(F66=O66, G66=P66), 25, IF(AND(SIGN(F66-G66)=SIGN(O66-P66), OR(AND(F66&gt;G66, F66=O66), AND(G66&gt;F66, G66=P66))), 18, IF(SIGN(F66-G66)=SIGN(O66-P66), 12, IF(OR(F66=O66, G66=P66), 5, 0)))))</f>
        <v/>
      </c>
      <c r="R66" s="16">
        <f>IF(OR(ISBLANK(F66), ISBLANK(O66)), 0, IF(F66=O66, 3, 0))</f>
        <v/>
      </c>
      <c r="S66" s="16">
        <f>IF(OR(ISBLANK(G66), ISBLANK(P66)), 0, IF(G66=P66, 3, 0))</f>
        <v/>
      </c>
      <c r="T66" s="5">
        <f>SUM(Q66:S66)</f>
        <v/>
      </c>
      <c r="U66" s="12" t="n"/>
      <c r="V66" s="12" t="n"/>
      <c r="W66" s="12">
        <f>IF(OR(ISBLANK(F66), ISBLANK(G66)), 0, IF(AND(F66=U66, G66=V66), 25, IF(AND(SIGN(F66-G66)=SIGN(U66-V66), OR(AND(F66&gt;G66, F66=U66), AND(G66&gt;F66, G66=V66))), 18, IF(SIGN(F66-G66)=SIGN(U66-V66), 12, IF(OR(F66=U66, G66=V66), 5, 0)))))</f>
        <v/>
      </c>
      <c r="X66" s="16">
        <f>IF(OR(ISBLANK(F66), ISBLANK(U66)), 0, IF(F66=U66, 3, 0))</f>
        <v/>
      </c>
      <c r="Y66" s="16">
        <f>IF(OR(ISBLANK(G66), ISBLANK(V66)), 0, IF(G66=V66, 3, 0))</f>
        <v/>
      </c>
      <c r="Z66" s="5">
        <f>SUM(W66:Y66)</f>
        <v/>
      </c>
      <c r="AA66" s="12" t="n"/>
      <c r="AB66" s="12" t="n"/>
      <c r="AC66" s="12">
        <f>IF(OR(ISBLANK(F66), ISBLANK(G66)), 0, IF(AND(F66=AA66, G66=AB66), 25, IF(AND(SIGN(F66-G66)=SIGN(AA66-AB66), OR(AND(F66&gt;G66, F66=AA66), AND(G66&gt;F66, G66=AB66))), 18, IF(SIGN(F66-G66)=SIGN(AA66-AB66), 12, IF(OR(F66=AA66, G66=AB66), 5, 0)))))</f>
        <v/>
      </c>
      <c r="AD66" s="16">
        <f>IF(OR(ISBLANK(F66), ISBLANK(AA66)), 0, IF(F66=AA66, 3, 0))</f>
        <v/>
      </c>
      <c r="AE66" s="16">
        <f>IF(OR(ISBLANK(G66), ISBLANK(AB66)), 0, IF(G66=AB66, 3, 0))</f>
        <v/>
      </c>
      <c r="AF66" s="5">
        <f>SUM(AC66:AE66)</f>
        <v/>
      </c>
      <c r="AG66" s="12" t="n"/>
      <c r="AH66" s="12" t="n"/>
      <c r="AI66" s="12">
        <f>IF(OR(ISBLANK(F66), ISBLANK(G66)), 0, IF(AND(F66=AG66, G66=AH66), 25, IF(AND(SIGN(F66-G66)=SIGN(AG66-AH66), OR(AND(F66&gt;G66, F66=AG66), AND(G66&gt;F66, G66=AH66))), 18, IF(SIGN(F66-G66)=SIGN(AG66-AH66), 12, IF(OR(F66=AG66, G66=AH66), 5, 0)))))</f>
        <v/>
      </c>
      <c r="AJ66" s="16">
        <f>IF(OR(ISBLANK(F66), ISBLANK(AG66)), 0, IF(F66=AG66, 3, 0))</f>
        <v/>
      </c>
      <c r="AK66" s="16">
        <f>IF(OR(ISBLANK(G66), ISBLANK(AH66)), 0, IF(G66=AH66, 3, 0))</f>
        <v/>
      </c>
      <c r="AL66" s="5">
        <f>SUM(AI66:AK66)</f>
        <v/>
      </c>
    </row>
    <row r="67">
      <c r="A67" s="12" t="n">
        <v>65</v>
      </c>
      <c r="B67" s="12" t="inlineStr">
        <is>
          <t>07/2026</t>
        </is>
      </c>
      <c r="C67" s="12" t="inlineStr">
        <is>
          <t>16:00</t>
        </is>
      </c>
      <c r="D67" s="13" t="inlineStr">
        <is>
          <t>Semifinal</t>
        </is>
      </c>
      <c r="E67" s="14" t="inlineStr">
        <is>
          <t>Classificado 1</t>
        </is>
      </c>
      <c r="F67" s="15" t="inlineStr"/>
      <c r="G67" s="15" t="inlineStr"/>
      <c r="H67" s="13" t="inlineStr">
        <is>
          <t>Classificado 2</t>
        </is>
      </c>
      <c r="I67" s="12" t="n"/>
      <c r="J67" s="12" t="n"/>
      <c r="K67" s="12">
        <f>IF(OR(ISBLANK(F67), ISBLANK(G67)), 0, IF(AND(F67=I67, G67=J67), 25, IF(AND(SIGN(F67-G67)=SIGN(I67-J67), OR(AND(F67&gt;G67, F67=I67), AND(G67&gt;F67, G67=J67))), 18, IF(SIGN(F67-G67)=SIGN(I67-J67), 12, IF(OR(F67=I67, G67=J67), 5, 0)))))</f>
        <v/>
      </c>
      <c r="L67" s="16">
        <f>IF(OR(ISBLANK(F67), ISBLANK(I67)), 0, IF(F67=I67, 3, 0))</f>
        <v/>
      </c>
      <c r="M67" s="16">
        <f>IF(OR(ISBLANK(G67), ISBLANK(J67)), 0, IF(G67=J67, 3, 0))</f>
        <v/>
      </c>
      <c r="N67" s="5">
        <f>SUM(K67:M67)</f>
        <v/>
      </c>
      <c r="O67" s="12" t="n"/>
      <c r="P67" s="12" t="n"/>
      <c r="Q67" s="12">
        <f>IF(OR(ISBLANK(F67), ISBLANK(G67)), 0, IF(AND(F67=O67, G67=P67), 25, IF(AND(SIGN(F67-G67)=SIGN(O67-P67), OR(AND(F67&gt;G67, F67=O67), AND(G67&gt;F67, G67=P67))), 18, IF(SIGN(F67-G67)=SIGN(O67-P67), 12, IF(OR(F67=O67, G67=P67), 5, 0)))))</f>
        <v/>
      </c>
      <c r="R67" s="16">
        <f>IF(OR(ISBLANK(F67), ISBLANK(O67)), 0, IF(F67=O67, 3, 0))</f>
        <v/>
      </c>
      <c r="S67" s="16">
        <f>IF(OR(ISBLANK(G67), ISBLANK(P67)), 0, IF(G67=P67, 3, 0))</f>
        <v/>
      </c>
      <c r="T67" s="5">
        <f>SUM(Q67:S67)</f>
        <v/>
      </c>
      <c r="U67" s="12" t="n"/>
      <c r="V67" s="12" t="n"/>
      <c r="W67" s="12">
        <f>IF(OR(ISBLANK(F67), ISBLANK(G67)), 0, IF(AND(F67=U67, G67=V67), 25, IF(AND(SIGN(F67-G67)=SIGN(U67-V67), OR(AND(F67&gt;G67, F67=U67), AND(G67&gt;F67, G67=V67))), 18, IF(SIGN(F67-G67)=SIGN(U67-V67), 12, IF(OR(F67=U67, G67=V67), 5, 0)))))</f>
        <v/>
      </c>
      <c r="X67" s="16">
        <f>IF(OR(ISBLANK(F67), ISBLANK(U67)), 0, IF(F67=U67, 3, 0))</f>
        <v/>
      </c>
      <c r="Y67" s="16">
        <f>IF(OR(ISBLANK(G67), ISBLANK(V67)), 0, IF(G67=V67, 3, 0))</f>
        <v/>
      </c>
      <c r="Z67" s="5">
        <f>SUM(W67:Y67)</f>
        <v/>
      </c>
      <c r="AA67" s="12" t="n"/>
      <c r="AB67" s="12" t="n"/>
      <c r="AC67" s="12">
        <f>IF(OR(ISBLANK(F67), ISBLANK(G67)), 0, IF(AND(F67=AA67, G67=AB67), 25, IF(AND(SIGN(F67-G67)=SIGN(AA67-AB67), OR(AND(F67&gt;G67, F67=AA67), AND(G67&gt;F67, G67=AB67))), 18, IF(SIGN(F67-G67)=SIGN(AA67-AB67), 12, IF(OR(F67=AA67, G67=AB67), 5, 0)))))</f>
        <v/>
      </c>
      <c r="AD67" s="16">
        <f>IF(OR(ISBLANK(F67), ISBLANK(AA67)), 0, IF(F67=AA67, 3, 0))</f>
        <v/>
      </c>
      <c r="AE67" s="16">
        <f>IF(OR(ISBLANK(G67), ISBLANK(AB67)), 0, IF(G67=AB67, 3, 0))</f>
        <v/>
      </c>
      <c r="AF67" s="5">
        <f>SUM(AC67:AE67)</f>
        <v/>
      </c>
      <c r="AG67" s="12" t="n"/>
      <c r="AH67" s="12" t="n"/>
      <c r="AI67" s="12">
        <f>IF(OR(ISBLANK(F67), ISBLANK(G67)), 0, IF(AND(F67=AG67, G67=AH67), 25, IF(AND(SIGN(F67-G67)=SIGN(AG67-AH67), OR(AND(F67&gt;G67, F67=AG67), AND(G67&gt;F67, G67=AH67))), 18, IF(SIGN(F67-G67)=SIGN(AG67-AH67), 12, IF(OR(F67=AG67, G67=AH67), 5, 0)))))</f>
        <v/>
      </c>
      <c r="AJ67" s="16">
        <f>IF(OR(ISBLANK(F67), ISBLANK(AG67)), 0, IF(F67=AG67, 3, 0))</f>
        <v/>
      </c>
      <c r="AK67" s="16">
        <f>IF(OR(ISBLANK(G67), ISBLANK(AH67)), 0, IF(G67=AH67, 3, 0))</f>
        <v/>
      </c>
      <c r="AL67" s="5">
        <f>SUM(AI67:AK67)</f>
        <v/>
      </c>
    </row>
    <row r="68">
      <c r="A68" s="12" t="n">
        <v>66</v>
      </c>
      <c r="B68" s="12" t="inlineStr">
        <is>
          <t>07/2026</t>
        </is>
      </c>
      <c r="C68" s="12" t="inlineStr">
        <is>
          <t>16:00</t>
        </is>
      </c>
      <c r="D68" s="13" t="inlineStr">
        <is>
          <t>Semifinal</t>
        </is>
      </c>
      <c r="E68" s="14" t="inlineStr">
        <is>
          <t>Classificado 3</t>
        </is>
      </c>
      <c r="F68" s="15" t="inlineStr"/>
      <c r="G68" s="15" t="inlineStr"/>
      <c r="H68" s="13" t="inlineStr">
        <is>
          <t>Classificado 4</t>
        </is>
      </c>
      <c r="I68" s="12" t="n"/>
      <c r="J68" s="12" t="n"/>
      <c r="K68" s="12">
        <f>IF(OR(ISBLANK(F68), ISBLANK(G68)), 0, IF(AND(F68=I68, G68=J68), 25, IF(AND(SIGN(F68-G68)=SIGN(I68-J68), OR(AND(F68&gt;G68, F68=I68), AND(G68&gt;F68, G68=J68))), 18, IF(SIGN(F68-G68)=SIGN(I68-J68), 12, IF(OR(F68=I68, G68=J68), 5, 0)))))</f>
        <v/>
      </c>
      <c r="L68" s="16">
        <f>IF(OR(ISBLANK(F68), ISBLANK(I68)), 0, IF(F68=I68, 3, 0))</f>
        <v/>
      </c>
      <c r="M68" s="16">
        <f>IF(OR(ISBLANK(G68), ISBLANK(J68)), 0, IF(G68=J68, 3, 0))</f>
        <v/>
      </c>
      <c r="N68" s="5">
        <f>SUM(K68:M68)</f>
        <v/>
      </c>
      <c r="O68" s="12" t="n"/>
      <c r="P68" s="12" t="n"/>
      <c r="Q68" s="12">
        <f>IF(OR(ISBLANK(F68), ISBLANK(G68)), 0, IF(AND(F68=O68, G68=P68), 25, IF(AND(SIGN(F68-G68)=SIGN(O68-P68), OR(AND(F68&gt;G68, F68=O68), AND(G68&gt;F68, G68=P68))), 18, IF(SIGN(F68-G68)=SIGN(O68-P68), 12, IF(OR(F68=O68, G68=P68), 5, 0)))))</f>
        <v/>
      </c>
      <c r="R68" s="16">
        <f>IF(OR(ISBLANK(F68), ISBLANK(O68)), 0, IF(F68=O68, 3, 0))</f>
        <v/>
      </c>
      <c r="S68" s="16">
        <f>IF(OR(ISBLANK(G68), ISBLANK(P68)), 0, IF(G68=P68, 3, 0))</f>
        <v/>
      </c>
      <c r="T68" s="5">
        <f>SUM(Q68:S68)</f>
        <v/>
      </c>
      <c r="U68" s="12" t="n"/>
      <c r="V68" s="12" t="n"/>
      <c r="W68" s="12">
        <f>IF(OR(ISBLANK(F68), ISBLANK(G68)), 0, IF(AND(F68=U68, G68=V68), 25, IF(AND(SIGN(F68-G68)=SIGN(U68-V68), OR(AND(F68&gt;G68, F68=U68), AND(G68&gt;F68, G68=V68))), 18, IF(SIGN(F68-G68)=SIGN(U68-V68), 12, IF(OR(F68=U68, G68=V68), 5, 0)))))</f>
        <v/>
      </c>
      <c r="X68" s="16">
        <f>IF(OR(ISBLANK(F68), ISBLANK(U68)), 0, IF(F68=U68, 3, 0))</f>
        <v/>
      </c>
      <c r="Y68" s="16">
        <f>IF(OR(ISBLANK(G68), ISBLANK(V68)), 0, IF(G68=V68, 3, 0))</f>
        <v/>
      </c>
      <c r="Z68" s="5">
        <f>SUM(W68:Y68)</f>
        <v/>
      </c>
      <c r="AA68" s="12" t="n"/>
      <c r="AB68" s="12" t="n"/>
      <c r="AC68" s="12">
        <f>IF(OR(ISBLANK(F68), ISBLANK(G68)), 0, IF(AND(F68=AA68, G68=AB68), 25, IF(AND(SIGN(F68-G68)=SIGN(AA68-AB68), OR(AND(F68&gt;G68, F68=AA68), AND(G68&gt;F68, G68=AB68))), 18, IF(SIGN(F68-G68)=SIGN(AA68-AB68), 12, IF(OR(F68=AA68, G68=AB68), 5, 0)))))</f>
        <v/>
      </c>
      <c r="AD68" s="16">
        <f>IF(OR(ISBLANK(F68), ISBLANK(AA68)), 0, IF(F68=AA68, 3, 0))</f>
        <v/>
      </c>
      <c r="AE68" s="16">
        <f>IF(OR(ISBLANK(G68), ISBLANK(AB68)), 0, IF(G68=AB68, 3, 0))</f>
        <v/>
      </c>
      <c r="AF68" s="5">
        <f>SUM(AC68:AE68)</f>
        <v/>
      </c>
      <c r="AG68" s="12" t="n"/>
      <c r="AH68" s="12" t="n"/>
      <c r="AI68" s="12">
        <f>IF(OR(ISBLANK(F68), ISBLANK(G68)), 0, IF(AND(F68=AG68, G68=AH68), 25, IF(AND(SIGN(F68-G68)=SIGN(AG68-AH68), OR(AND(F68&gt;G68, F68=AG68), AND(G68&gt;F68, G68=AH68))), 18, IF(SIGN(F68-G68)=SIGN(AG68-AH68), 12, IF(OR(F68=AG68, G68=AH68), 5, 0)))))</f>
        <v/>
      </c>
      <c r="AJ68" s="16">
        <f>IF(OR(ISBLANK(F68), ISBLANK(AG68)), 0, IF(F68=AG68, 3, 0))</f>
        <v/>
      </c>
      <c r="AK68" s="16">
        <f>IF(OR(ISBLANK(G68), ISBLANK(AH68)), 0, IF(G68=AH68, 3, 0))</f>
        <v/>
      </c>
      <c r="AL68" s="5">
        <f>SUM(AI68:AK68)</f>
        <v/>
      </c>
    </row>
    <row r="69">
      <c r="A69" s="12" t="n">
        <v>67</v>
      </c>
      <c r="B69" s="12" t="inlineStr">
        <is>
          <t>07/2026</t>
        </is>
      </c>
      <c r="C69" s="12" t="inlineStr">
        <is>
          <t>16:00</t>
        </is>
      </c>
      <c r="D69" s="13" t="inlineStr">
        <is>
          <t>Disputa de 3º Lugar</t>
        </is>
      </c>
      <c r="E69" s="14" t="inlineStr">
        <is>
          <t>Classificado 1</t>
        </is>
      </c>
      <c r="F69" s="15" t="inlineStr"/>
      <c r="G69" s="15" t="inlineStr"/>
      <c r="H69" s="13" t="inlineStr">
        <is>
          <t>Classificado 2</t>
        </is>
      </c>
      <c r="I69" s="12" t="n"/>
      <c r="J69" s="12" t="n"/>
      <c r="K69" s="12">
        <f>IF(OR(ISBLANK(F69), ISBLANK(G69)), 0, IF(AND(F69=I69, G69=J69), 25, IF(AND(SIGN(F69-G69)=SIGN(I69-J69), OR(AND(F69&gt;G69, F69=I69), AND(G69&gt;F69, G69=J69))), 18, IF(SIGN(F69-G69)=SIGN(I69-J69), 12, IF(OR(F69=I69, G69=J69), 5, 0)))))</f>
        <v/>
      </c>
      <c r="L69" s="16">
        <f>IF(OR(ISBLANK(F69), ISBLANK(I69)), 0, IF(F69=I69, 3, 0))</f>
        <v/>
      </c>
      <c r="M69" s="16">
        <f>IF(OR(ISBLANK(G69), ISBLANK(J69)), 0, IF(G69=J69, 3, 0))</f>
        <v/>
      </c>
      <c r="N69" s="5">
        <f>SUM(K69:M69)</f>
        <v/>
      </c>
      <c r="O69" s="12" t="n"/>
      <c r="P69" s="12" t="n"/>
      <c r="Q69" s="12">
        <f>IF(OR(ISBLANK(F69), ISBLANK(G69)), 0, IF(AND(F69=O69, G69=P69), 25, IF(AND(SIGN(F69-G69)=SIGN(O69-P69), OR(AND(F69&gt;G69, F69=O69), AND(G69&gt;F69, G69=P69))), 18, IF(SIGN(F69-G69)=SIGN(O69-P69), 12, IF(OR(F69=O69, G69=P69), 5, 0)))))</f>
        <v/>
      </c>
      <c r="R69" s="16">
        <f>IF(OR(ISBLANK(F69), ISBLANK(O69)), 0, IF(F69=O69, 3, 0))</f>
        <v/>
      </c>
      <c r="S69" s="16">
        <f>IF(OR(ISBLANK(G69), ISBLANK(P69)), 0, IF(G69=P69, 3, 0))</f>
        <v/>
      </c>
      <c r="T69" s="5">
        <f>SUM(Q69:S69)</f>
        <v/>
      </c>
      <c r="U69" s="12" t="n"/>
      <c r="V69" s="12" t="n"/>
      <c r="W69" s="12">
        <f>IF(OR(ISBLANK(F69), ISBLANK(G69)), 0, IF(AND(F69=U69, G69=V69), 25, IF(AND(SIGN(F69-G69)=SIGN(U69-V69), OR(AND(F69&gt;G69, F69=U69), AND(G69&gt;F69, G69=V69))), 18, IF(SIGN(F69-G69)=SIGN(U69-V69), 12, IF(OR(F69=U69, G69=V69), 5, 0)))))</f>
        <v/>
      </c>
      <c r="X69" s="16">
        <f>IF(OR(ISBLANK(F69), ISBLANK(U69)), 0, IF(F69=U69, 3, 0))</f>
        <v/>
      </c>
      <c r="Y69" s="16">
        <f>IF(OR(ISBLANK(G69), ISBLANK(V69)), 0, IF(G69=V69, 3, 0))</f>
        <v/>
      </c>
      <c r="Z69" s="5">
        <f>SUM(W69:Y69)</f>
        <v/>
      </c>
      <c r="AA69" s="12" t="n"/>
      <c r="AB69" s="12" t="n"/>
      <c r="AC69" s="12">
        <f>IF(OR(ISBLANK(F69), ISBLANK(G69)), 0, IF(AND(F69=AA69, G69=AB69), 25, IF(AND(SIGN(F69-G69)=SIGN(AA69-AB69), OR(AND(F69&gt;G69, F69=AA69), AND(G69&gt;F69, G69=AB69))), 18, IF(SIGN(F69-G69)=SIGN(AA69-AB69), 12, IF(OR(F69=AA69, G69=AB69), 5, 0)))))</f>
        <v/>
      </c>
      <c r="AD69" s="16">
        <f>IF(OR(ISBLANK(F69), ISBLANK(AA69)), 0, IF(F69=AA69, 3, 0))</f>
        <v/>
      </c>
      <c r="AE69" s="16">
        <f>IF(OR(ISBLANK(G69), ISBLANK(AB69)), 0, IF(G69=AB69, 3, 0))</f>
        <v/>
      </c>
      <c r="AF69" s="5">
        <f>SUM(AC69:AE69)</f>
        <v/>
      </c>
      <c r="AG69" s="12" t="n"/>
      <c r="AH69" s="12" t="n"/>
      <c r="AI69" s="12">
        <f>IF(OR(ISBLANK(F69), ISBLANK(G69)), 0, IF(AND(F69=AG69, G69=AH69), 25, IF(AND(SIGN(F69-G69)=SIGN(AG69-AH69), OR(AND(F69&gt;G69, F69=AG69), AND(G69&gt;F69, G69=AH69))), 18, IF(SIGN(F69-G69)=SIGN(AG69-AH69), 12, IF(OR(F69=AG69, G69=AH69), 5, 0)))))</f>
        <v/>
      </c>
      <c r="AJ69" s="16">
        <f>IF(OR(ISBLANK(F69), ISBLANK(AG69)), 0, IF(F69=AG69, 3, 0))</f>
        <v/>
      </c>
      <c r="AK69" s="16">
        <f>IF(OR(ISBLANK(G69), ISBLANK(AH69)), 0, IF(G69=AH69, 3, 0))</f>
        <v/>
      </c>
      <c r="AL69" s="5">
        <f>SUM(AI69:AK69)</f>
        <v/>
      </c>
    </row>
    <row r="70">
      <c r="A70" s="12" t="n">
        <v>68</v>
      </c>
      <c r="B70" s="12" t="inlineStr">
        <is>
          <t>07/2026</t>
        </is>
      </c>
      <c r="C70" s="12" t="inlineStr">
        <is>
          <t>16:00</t>
        </is>
      </c>
      <c r="D70" s="13" t="inlineStr">
        <is>
          <t>Grande Final</t>
        </is>
      </c>
      <c r="E70" s="14" t="inlineStr">
        <is>
          <t>Classificado 1</t>
        </is>
      </c>
      <c r="F70" s="15" t="inlineStr"/>
      <c r="G70" s="15" t="inlineStr"/>
      <c r="H70" s="13" t="inlineStr">
        <is>
          <t>Classificado 2</t>
        </is>
      </c>
      <c r="I70" s="12" t="n"/>
      <c r="J70" s="12" t="n"/>
      <c r="K70" s="12">
        <f>IF(OR(ISBLANK(F70), ISBLANK(G70)), 0, IF(AND(F70=I70, G70=J70), 25, IF(AND(SIGN(F70-G70)=SIGN(I70-J70), OR(AND(F70&gt;G70, F70=I70), AND(G70&gt;F70, G70=J70))), 18, IF(SIGN(F70-G70)=SIGN(I70-J70), 12, IF(OR(F70=I70, G70=J70), 5, 0)))))</f>
        <v/>
      </c>
      <c r="L70" s="16">
        <f>IF(OR(ISBLANK(F70), ISBLANK(I70)), 0, IF(F70=I70, 3, 0))</f>
        <v/>
      </c>
      <c r="M70" s="16">
        <f>IF(OR(ISBLANK(G70), ISBLANK(J70)), 0, IF(G70=J70, 3, 0))</f>
        <v/>
      </c>
      <c r="N70" s="5">
        <f>SUM(K70:M70)</f>
        <v/>
      </c>
      <c r="O70" s="12" t="n"/>
      <c r="P70" s="12" t="n"/>
      <c r="Q70" s="12">
        <f>IF(OR(ISBLANK(F70), ISBLANK(G70)), 0, IF(AND(F70=O70, G70=P70), 25, IF(AND(SIGN(F70-G70)=SIGN(O70-P70), OR(AND(F70&gt;G70, F70=O70), AND(G70&gt;F70, G70=P70))), 18, IF(SIGN(F70-G70)=SIGN(O70-P70), 12, IF(OR(F70=O70, G70=P70), 5, 0)))))</f>
        <v/>
      </c>
      <c r="R70" s="16">
        <f>IF(OR(ISBLANK(F70), ISBLANK(O70)), 0, IF(F70=O70, 3, 0))</f>
        <v/>
      </c>
      <c r="S70" s="16">
        <f>IF(OR(ISBLANK(G70), ISBLANK(P70)), 0, IF(G70=P70, 3, 0))</f>
        <v/>
      </c>
      <c r="T70" s="5">
        <f>SUM(Q70:S70)</f>
        <v/>
      </c>
      <c r="U70" s="12" t="n"/>
      <c r="V70" s="12" t="n"/>
      <c r="W70" s="12">
        <f>IF(OR(ISBLANK(F70), ISBLANK(G70)), 0, IF(AND(F70=U70, G70=V70), 25, IF(AND(SIGN(F70-G70)=SIGN(U70-V70), OR(AND(F70&gt;G70, F70=U70), AND(G70&gt;F70, G70=V70))), 18, IF(SIGN(F70-G70)=SIGN(U70-V70), 12, IF(OR(F70=U70, G70=V70), 5, 0)))))</f>
        <v/>
      </c>
      <c r="X70" s="16">
        <f>IF(OR(ISBLANK(F70), ISBLANK(U70)), 0, IF(F70=U70, 3, 0))</f>
        <v/>
      </c>
      <c r="Y70" s="16">
        <f>IF(OR(ISBLANK(G70), ISBLANK(V70)), 0, IF(G70=V70, 3, 0))</f>
        <v/>
      </c>
      <c r="Z70" s="5">
        <f>SUM(W70:Y70)</f>
        <v/>
      </c>
      <c r="AA70" s="12" t="n"/>
      <c r="AB70" s="12" t="n"/>
      <c r="AC70" s="12">
        <f>IF(OR(ISBLANK(F70), ISBLANK(G70)), 0, IF(AND(F70=AA70, G70=AB70), 25, IF(AND(SIGN(F70-G70)=SIGN(AA70-AB70), OR(AND(F70&gt;G70, F70=AA70), AND(G70&gt;F70, G70=AB70))), 18, IF(SIGN(F70-G70)=SIGN(AA70-AB70), 12, IF(OR(F70=AA70, G70=AB70), 5, 0)))))</f>
        <v/>
      </c>
      <c r="AD70" s="16">
        <f>IF(OR(ISBLANK(F70), ISBLANK(AA70)), 0, IF(F70=AA70, 3, 0))</f>
        <v/>
      </c>
      <c r="AE70" s="16">
        <f>IF(OR(ISBLANK(G70), ISBLANK(AB70)), 0, IF(G70=AB70, 3, 0))</f>
        <v/>
      </c>
      <c r="AF70" s="5">
        <f>SUM(AC70:AE70)</f>
        <v/>
      </c>
      <c r="AG70" s="12" t="n"/>
      <c r="AH70" s="12" t="n"/>
      <c r="AI70" s="12">
        <f>IF(OR(ISBLANK(F70), ISBLANK(G70)), 0, IF(AND(F70=AG70, G70=AH70), 25, IF(AND(SIGN(F70-G70)=SIGN(AG70-AH70), OR(AND(F70&gt;G70, F70=AG70), AND(G70&gt;F70, G70=AH70))), 18, IF(SIGN(F70-G70)=SIGN(AG70-AH70), 12, IF(OR(F70=AG70, G70=AH70), 5, 0)))))</f>
        <v/>
      </c>
      <c r="AJ70" s="16">
        <f>IF(OR(ISBLANK(F70), ISBLANK(AG70)), 0, IF(F70=AG70, 3, 0))</f>
        <v/>
      </c>
      <c r="AK70" s="16">
        <f>IF(OR(ISBLANK(G70), ISBLANK(AH70)), 0, IF(G70=AH70, 3, 0))</f>
        <v/>
      </c>
      <c r="AL70" s="5">
        <f>SUM(AI70:AK70)</f>
        <v/>
      </c>
    </row>
  </sheetData>
  <mergeCells count="13">
    <mergeCell ref="AA1:AF1"/>
    <mergeCell ref="O1:T1"/>
    <mergeCell ref="AG1:AL1"/>
    <mergeCell ref="U1:Z1"/>
    <mergeCell ref="C1:C2"/>
    <mergeCell ref="B1:B2"/>
    <mergeCell ref="D1:D2"/>
    <mergeCell ref="E1:E2"/>
    <mergeCell ref="F1:F2"/>
    <mergeCell ref="G1:G2"/>
    <mergeCell ref="I1:N1"/>
    <mergeCell ref="H1:H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3" customWidth="1" min="2" max="2"/>
    <col width="37" customWidth="1" min="3" max="3"/>
    <col width="18" customWidth="1" min="4" max="4"/>
    <col width="11" customWidth="1" min="5" max="5"/>
    <col width="11" customWidth="1" min="6" max="6"/>
    <col width="11" customWidth="1" min="7" max="7"/>
  </cols>
  <sheetData>
    <row r="1" ht="40" customHeight="1">
      <c r="A1" s="1" t="inlineStr">
        <is>
          <t>PAINEL DE CLASSIFICAÇÃO GERAL</t>
        </is>
      </c>
    </row>
    <row r="2"/>
    <row r="3">
      <c r="A3" s="2" t="inlineStr">
        <is>
          <t>PAINEL FINANCEIRO</t>
        </is>
      </c>
    </row>
    <row r="4">
      <c r="A4" t="inlineStr">
        <is>
          <t>Valor da Aposta:</t>
        </is>
      </c>
      <c r="B4" s="17" t="n">
        <v>50</v>
      </c>
      <c r="D4" t="inlineStr">
        <is>
          <t>1º Lugar (60%):</t>
        </is>
      </c>
      <c r="E4" s="17">
        <f>B6*0.6</f>
        <v/>
      </c>
    </row>
    <row r="5">
      <c r="A5" t="inlineStr">
        <is>
          <t>Nº de Participantes:</t>
        </is>
      </c>
      <c r="B5" s="17">
        <f>COUNTA('Jogos &amp; Palpites'!I1,'Jogos &amp; Palpites'!O1,'Jogos &amp; Palpites'!U1,'Jogos &amp; Palpites'!AA1,'Jogos &amp; Palpites'!AG1)</f>
        <v/>
      </c>
      <c r="D5" t="inlineStr">
        <is>
          <t>2º Lugar (30%):</t>
        </is>
      </c>
      <c r="E5" s="17">
        <f>B6*0.3</f>
        <v/>
      </c>
    </row>
    <row r="6">
      <c r="A6" t="inlineStr">
        <is>
          <t>Arrecadação Total:</t>
        </is>
      </c>
      <c r="B6" s="17">
        <f>B4*B5</f>
        <v/>
      </c>
      <c r="D6" t="inlineStr">
        <is>
          <t>3º Lugar (10%):</t>
        </is>
      </c>
      <c r="E6" s="17">
        <f>B6*0.1</f>
        <v/>
      </c>
    </row>
    <row r="7"/>
    <row r="8"/>
    <row r="9">
      <c r="A9" s="2" t="inlineStr">
        <is>
          <t>CLASSIFICAÇÃO DOS PARTICIPANTES</t>
        </is>
      </c>
    </row>
    <row r="10">
      <c r="A10" s="3" t="inlineStr">
        <is>
          <t>Posição</t>
        </is>
      </c>
      <c r="B10" s="3" t="inlineStr">
        <is>
          <t>Participante</t>
        </is>
      </c>
      <c r="C10" s="3" t="inlineStr">
        <is>
          <t>Pontos Totais</t>
        </is>
      </c>
    </row>
    <row r="11">
      <c r="A11" s="12" t="n">
        <v>1</v>
      </c>
      <c r="B11" s="13">
        <f>'Jogos &amp; Palpites'!I1</f>
        <v/>
      </c>
      <c r="C11" s="5">
        <f>SUM('Jogos &amp; Palpites'!N3:N115)</f>
        <v/>
      </c>
    </row>
    <row r="12">
      <c r="A12" s="12" t="n">
        <v>2</v>
      </c>
      <c r="B12" s="13">
        <f>'Jogos &amp; Palpites'!O1</f>
        <v/>
      </c>
      <c r="C12" s="5">
        <f>SUM('Jogos &amp; Palpites'!T3:T115)</f>
        <v/>
      </c>
    </row>
    <row r="13">
      <c r="A13" s="12" t="n">
        <v>3</v>
      </c>
      <c r="B13" s="13">
        <f>'Jogos &amp; Palpites'!U1</f>
        <v/>
      </c>
      <c r="C13" s="5">
        <f>SUM('Jogos &amp; Palpites'!Z3:Z115)</f>
        <v/>
      </c>
    </row>
    <row r="14">
      <c r="A14" s="12" t="n">
        <v>4</v>
      </c>
      <c r="B14" s="13">
        <f>'Jogos &amp; Palpites'!AA1</f>
        <v/>
      </c>
      <c r="C14" s="5">
        <f>SUM('Jogos &amp; Palpites'!AF3:AF115)</f>
        <v/>
      </c>
    </row>
    <row r="15">
      <c r="A15" s="12" t="n">
        <v>5</v>
      </c>
      <c r="B15" s="13">
        <f>'Jogos &amp; Palpites'!AG1</f>
        <v/>
      </c>
      <c r="C15" s="5">
        <f>SUM('Jogos &amp; Palpites'!AL3:AL115)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2026-05-30T01:52:47Z</dcterms:created>
  <dcterms:modified xmlns:dcterms="http://purl.org/dc/terms/" xmlns:xsi="http://www.w3.org/2001/XMLSchema-instance" xsi:type="dcterms:W3CDTF">2026-05-30T01:52:47Z</dcterms:modified>
</cp:coreProperties>
</file>